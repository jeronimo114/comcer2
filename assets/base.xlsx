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INFO" sheetId="1" state="visible" r:id="rId1"/>
    <sheet name="despacho" sheetId="2" state="visible" r:id="rId2"/>
    <sheet name="lIQUIDACION" sheetId="3" state="visible" r:id="rId3"/>
    <sheet name="Consec" sheetId="4" state="visible" r:id="rId4"/>
    <sheet name="facturar" sheetId="5" state="visible" r:id="rId5"/>
  </sheets>
  <definedNames>
    <definedName name="_xlnm._FilterDatabase" localSheetId="1" hidden="1">'despacho'!$A$1:$X$1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[$-240A]d\/m\/yyyy\,\ h:mm\ AM/PM"/>
    <numFmt numFmtId="165" formatCode="yyyy\-mm\-dd\ h:mm:ss"/>
    <numFmt numFmtId="166" formatCode="d/m/yyyy"/>
    <numFmt numFmtId="167" formatCode="dd\-mm\-yyyy\ h:mm:ss"/>
    <numFmt numFmtId="168" formatCode="0.0"/>
    <numFmt numFmtId="169" formatCode="d/mm/yyyy"/>
    <numFmt numFmtId="170" formatCode="dddd\,\ dd\ &quot;de&quot;\ mmmm\ &quot;de&quot;\ yyyy\ hh:mm"/>
    <numFmt numFmtId="171" formatCode="_-* #,##0.00_-;\-* #,##0.00_-;_-* &quot;-&quot;??_-;_-@"/>
    <numFmt numFmtId="172" formatCode="0.0%"/>
    <numFmt numFmtId="173" formatCode="&quot;$&quot;\ #,##0"/>
    <numFmt numFmtId="174" formatCode="&quot;$&quot;\ #,##0.00"/>
    <numFmt numFmtId="175" formatCode="_ &quot;$&quot;\ * #,##0_ ;_ &quot;$&quot;\ * \-#,##0_ ;_ &quot;$&quot;\ * &quot;-&quot;_ ;_ @_ "/>
    <numFmt numFmtId="176" formatCode="_ * #,##0.00_ ;_ * \-#,##0.00_ ;_ * &quot;-&quot;_ ;_ @_ "/>
    <numFmt numFmtId="177" formatCode="_ * #,##0.0_ ;_ * \-#,##0.0_ ;_ * &quot;-&quot;_ ;_ @_ "/>
    <numFmt numFmtId="178" formatCode="_(&quot;$&quot;\ * #,##0.00_);_(&quot;$&quot;\ * \(#,##0.00\);_(&quot;$&quot;\ * &quot;-&quot;??_);_(@_)"/>
    <numFmt numFmtId="179" formatCode="#,##0.0"/>
    <numFmt numFmtId="180" formatCode="_(&quot;$&quot;\ * #,##0_);_(&quot;$&quot;\ * \(#,##0\);_(&quot;$&quot;\ * &quot;-&quot;??_);_(@_)"/>
  </numFmts>
  <fonts count="16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color theme="1"/>
      <sz val="11"/>
      <scheme val="minor"/>
    </font>
    <font>
      <name val="Calibri"/>
      <color theme="1"/>
      <sz val="11"/>
    </font>
    <font>
      <name val="Calibri"/>
      <color rgb="FFEF6636"/>
      <sz val="11"/>
      <u val="single"/>
    </font>
    <font>
      <name val="Calibri"/>
      <color theme="1"/>
      <sz val="11"/>
      <scheme val="minor"/>
    </font>
    <font>
      <name val="Calibri"/>
      <color rgb="FF000000"/>
      <sz val="11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10"/>
    </font>
    <font>
      <name val="Arial"/>
      <color theme="1"/>
      <sz val="7"/>
    </font>
    <font>
      <name val="Arial"/>
      <b val="1"/>
      <color theme="1"/>
      <sz val="8"/>
    </font>
    <font>
      <name val="Arial"/>
      <color theme="1"/>
      <sz val="9"/>
    </font>
    <font>
      <name val="Arial"/>
      <color theme="1"/>
      <sz val="8"/>
    </font>
    <font>
      <name val="Arial Narrow"/>
      <color theme="1"/>
      <sz val="10"/>
    </font>
    <font>
      <name val="Tahoma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99CC00"/>
        <bgColor rgb="FF99CC00"/>
      </patternFill>
    </fill>
    <fill>
      <patternFill patternType="solid">
        <fgColor rgb="FFFFFFFF"/>
        <bgColor rgb="FFFFFFFF"/>
      </patternFill>
    </fill>
    <fill>
      <patternFill patternType="solid">
        <fgColor rgb="FFC4BD97"/>
        <bgColor rgb="FFC4BD97"/>
      </patternFill>
    </fill>
  </fills>
  <borders count="10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/>
      <right style="medium">
        <color rgb="FFA5A5A5"/>
      </right>
      <top style="medium">
        <color rgb="FFA5A5A5"/>
      </top>
      <bottom/>
      <diagonal/>
    </border>
    <border>
      <left style="medium">
        <color rgb="FFBFBFBF"/>
      </left>
      <right style="medium">
        <color rgb="FFA5A5A5"/>
      </right>
      <top style="medium">
        <color rgb="FFBFBFBF"/>
      </top>
      <bottom/>
      <diagonal/>
    </border>
    <border>
      <left style="medium">
        <color rgb="FFA5A5A5"/>
      </left>
      <right style="medium">
        <color rgb="FFA5A5A5"/>
      </right>
      <top style="medium">
        <color rgb="FFBFBFBF"/>
      </top>
      <bottom/>
      <diagonal/>
    </border>
    <border>
      <left style="medium">
        <color rgb="FFA5A5A5"/>
      </left>
      <right style="medium">
        <color rgb="FFBFBFBF"/>
      </right>
      <top style="medium">
        <color rgb="FFBFBFBF"/>
      </top>
      <bottom/>
      <diagonal/>
    </border>
    <border>
      <left style="medium">
        <color rgb="FFA5A5A5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/>
      <top style="thin">
        <color rgb="FFA5A5A5"/>
      </top>
      <bottom style="thin">
        <color rgb="FFA5A5A5"/>
      </bottom>
      <diagonal/>
    </border>
    <border>
      <left style="medium">
        <color rgb="FFBFBFBF"/>
      </left>
      <right style="medium">
        <color rgb="FFA5A5A5"/>
      </right>
      <top style="thin">
        <color rgb="FFA5A5A5"/>
      </top>
      <bottom style="medium">
        <color rgb="FFBFBFBF"/>
      </bottom>
      <diagonal/>
    </border>
    <border>
      <left style="medium">
        <color rgb="FFA5A5A5"/>
      </left>
      <right style="medium">
        <color rgb="FFBFBFBF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 style="medium">
        <color rgb="FFBFBFBF"/>
      </left>
      <right style="medium">
        <color rgb="FFA5A5A5"/>
      </right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medium">
        <color rgb="FFBFBFBF"/>
      </right>
      <top/>
      <bottom style="thin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thin">
        <color rgb="FFA5A5A5"/>
      </bottom>
      <diagonal/>
    </border>
    <border>
      <left style="medium">
        <color rgb="FFBFBFBF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/>
      <right style="medium">
        <color rgb="FFBFBFBF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 style="medium">
        <color rgb="FFA5A5A5"/>
      </right>
      <top/>
      <bottom/>
      <diagonal/>
    </border>
    <border>
      <left/>
      <right/>
      <top style="thin">
        <color rgb="FFA5A5A5"/>
      </top>
      <bottom/>
      <diagonal/>
    </border>
    <border>
      <left style="medium">
        <color rgb="FFA5A5A5"/>
      </left>
      <right style="medium">
        <color rgb="FFA5A5A5"/>
      </right>
      <top style="thin">
        <color rgb="FFA5A5A5"/>
      </top>
      <bottom style="medium">
        <color rgb="FFA5A5A5"/>
      </bottom>
      <diagonal/>
    </border>
    <border>
      <left/>
      <right/>
      <top style="thin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 style="thin">
        <color rgb="FFA5A5A5"/>
      </top>
      <bottom/>
      <diagonal/>
    </border>
    <border>
      <left/>
      <right style="medium">
        <color rgb="FFBFBFBF"/>
      </right>
      <top/>
      <bottom style="thin">
        <color rgb="FFA5A5A5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thin">
        <color rgb="FFA5A5A5"/>
      </bottom>
      <diagonal/>
    </border>
    <border>
      <left style="medium">
        <color rgb="FFA5A5A5"/>
      </left>
      <right style="thin">
        <color rgb="FFA5A5A5"/>
      </right>
      <top style="medium">
        <color rgb="FFA5A5A5"/>
      </top>
      <bottom style="medium">
        <color rgb="FFA5A5A5"/>
      </bottom>
      <diagonal/>
    </border>
    <border>
      <left style="thin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thin">
        <color rgb="FFA5A5A5"/>
      </right>
      <top style="medium">
        <color rgb="FFA5A5A5"/>
      </top>
      <bottom/>
      <diagonal/>
    </border>
    <border>
      <left style="thin">
        <color rgb="FFA5A5A5"/>
      </left>
      <right style="thin">
        <color rgb="FFA5A5A5"/>
      </right>
      <top style="medium">
        <color rgb="FFA5A5A5"/>
      </top>
      <bottom/>
      <diagonal/>
    </border>
    <border>
      <left style="thin">
        <color rgb="FFA5A5A5"/>
      </left>
      <right/>
      <top style="medium">
        <color rgb="FFA5A5A5"/>
      </top>
      <bottom/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/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/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/>
      <right/>
      <top style="medium">
        <color rgb="FFA5A5A5"/>
      </top>
      <bottom/>
      <diagonal/>
    </border>
    <border>
      <left/>
      <right/>
      <top style="medium">
        <color rgb="FFA5A5A5"/>
      </top>
      <bottom style="thin">
        <color rgb="FFA5A5A5"/>
      </bottom>
      <diagonal/>
    </border>
    <border>
      <left style="medium">
        <color rgb="FFA5A5A5"/>
      </left>
      <right/>
      <top/>
      <bottom/>
      <diagonal/>
    </border>
    <border>
      <left style="medium">
        <color rgb="FFA5A5A5"/>
      </left>
      <right/>
      <top/>
      <bottom/>
      <diagonal/>
    </border>
    <border>
      <left style="medium">
        <color rgb="FF000000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/>
      <bottom style="thin">
        <color rgb="FFA5A5A5"/>
      </bottom>
      <diagonal/>
    </border>
    <border>
      <left/>
      <right style="medium">
        <color rgb="FFA5A5A5"/>
      </right>
      <top/>
      <bottom style="thin">
        <color rgb="FFA5A5A5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A5A5A5"/>
      </bottom>
      <diagonal/>
    </border>
    <border>
      <left/>
      <right style="thin">
        <color rgb="FFA5A5A5"/>
      </right>
      <top/>
      <bottom style="medium">
        <color rgb="FFA5A5A5"/>
      </bottom>
      <diagonal/>
    </border>
    <border>
      <left style="thin">
        <color rgb="FFA5A5A5"/>
      </left>
      <right style="thin">
        <color rgb="FFA5A5A5"/>
      </right>
      <top/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thin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/>
      <top style="medium">
        <color rgb="FFA5A5A5"/>
      </top>
      <bottom style="thin">
        <color rgb="FFA5A5A5"/>
      </bottom>
      <diagonal/>
    </border>
    <border>
      <left style="medium">
        <color rgb="FFA5A5A5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A5A5A5"/>
      </right>
      <top/>
      <bottom style="thin">
        <color rgb="FFBFBFBF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medium">
        <color rgb="FFA5A5A5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medium">
        <color rgb="FFA5A5A5"/>
      </left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FBFBF"/>
      </left>
      <right style="thin">
        <color rgb="FFBFBFBF"/>
      </right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rgb="FFA5A5A5"/>
      </left>
      <right/>
      <top style="thin">
        <color rgb="FFA5A5A5"/>
      </top>
      <bottom/>
      <diagonal/>
    </border>
    <border>
      <left style="thin">
        <color rgb="FFA5A5A5"/>
      </left>
      <right style="medium">
        <color rgb="FFA5A5A5"/>
      </right>
      <top style="thin">
        <color rgb="FFA5A5A5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5" fillId="0" borderId="1"/>
  </cellStyleXfs>
  <cellXfs count="336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right" vertical="top" wrapText="1"/>
    </xf>
    <xf numFmtId="0" fontId="3" fillId="2" borderId="1" pivotButton="0" quotePrefix="0" xfId="0"/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pivotButton="0" quotePrefix="1" xfId="0"/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165" fontId="6" fillId="0" borderId="0" pivotButton="0" quotePrefix="0" xfId="0"/>
    <xf numFmtId="0" fontId="5" fillId="0" borderId="0" pivotButton="0" quotePrefix="1" xfId="0"/>
    <xf numFmtId="0" fontId="8" fillId="0" borderId="0" pivotButton="0" quotePrefix="0" xfId="0"/>
    <xf numFmtId="0" fontId="9" fillId="3" borderId="1" pivotButton="0" quotePrefix="0" xfId="0"/>
    <xf numFmtId="0" fontId="8" fillId="3" borderId="1" pivotButton="0" quotePrefix="0" xfId="0"/>
    <xf numFmtId="16" fontId="9" fillId="0" borderId="0" pivotButton="0" quotePrefix="0" xfId="0"/>
    <xf numFmtId="0" fontId="9" fillId="0" borderId="0" pivotButton="0" quotePrefix="0" xfId="0"/>
    <xf numFmtId="16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0" fontId="8" fillId="4" borderId="3" pivotButton="0" quotePrefix="0" xfId="0"/>
    <xf numFmtId="0" fontId="9" fillId="4" borderId="3" pivotButton="0" quotePrefix="0" xfId="0"/>
    <xf numFmtId="0" fontId="8" fillId="4" borderId="3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8" fillId="2" borderId="1" pivotButton="0" quotePrefix="0" xfId="0"/>
    <xf numFmtId="0" fontId="8" fillId="0" borderId="4" pivotButton="0" quotePrefix="0" xfId="0"/>
    <xf numFmtId="0" fontId="8" fillId="0" borderId="5" applyAlignment="1" pivotButton="0" quotePrefix="0" xfId="0">
      <alignment horizontal="center"/>
    </xf>
    <xf numFmtId="0" fontId="8" fillId="0" borderId="6" pivotButton="0" quotePrefix="0" xfId="0"/>
    <xf numFmtId="0" fontId="8" fillId="0" borderId="4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165" fontId="8" fillId="4" borderId="3" pivotButton="0" quotePrefix="0" xfId="0"/>
    <xf numFmtId="21" fontId="8" fillId="4" borderId="3" pivotButton="0" quotePrefix="0" xfId="0"/>
    <xf numFmtId="0" fontId="3" fillId="4" borderId="3" pivotButton="0" quotePrefix="0" xfId="0"/>
    <xf numFmtId="0" fontId="3" fillId="0" borderId="2" pivotButton="0" quotePrefix="0" xfId="0"/>
    <xf numFmtId="0" fontId="8" fillId="0" borderId="2" pivotButton="0" quotePrefix="0" xfId="0"/>
    <xf numFmtId="0" fontId="8" fillId="0" borderId="8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6" fontId="8" fillId="0" borderId="2" applyAlignment="1" pivotButton="0" quotePrefix="0" xfId="0">
      <alignment horizontal="right"/>
    </xf>
    <xf numFmtId="167" fontId="8" fillId="4" borderId="3" pivotButton="0" quotePrefix="0" xfId="0"/>
    <xf numFmtId="21" fontId="8" fillId="0" borderId="2" pivotButton="0" quotePrefix="0" xfId="0"/>
    <xf numFmtId="0" fontId="8" fillId="0" borderId="13" applyAlignment="1" pivotButton="0" quotePrefix="0" xfId="0">
      <alignment horizontal="center"/>
    </xf>
    <xf numFmtId="0" fontId="8" fillId="0" borderId="14" applyAlignment="1" pivotButton="0" quotePrefix="0" xfId="0">
      <alignment horizontal="center"/>
    </xf>
    <xf numFmtId="0" fontId="8" fillId="0" borderId="15" applyAlignment="1" pivotButton="0" quotePrefix="0" xfId="0">
      <alignment horizontal="center"/>
    </xf>
    <xf numFmtId="0" fontId="8" fillId="0" borderId="16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8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168" fontId="8" fillId="0" borderId="18" applyAlignment="1" pivotButton="0" quotePrefix="0" xfId="0">
      <alignment horizontal="center"/>
    </xf>
    <xf numFmtId="1" fontId="8" fillId="0" borderId="18" applyAlignment="1" pivotButton="0" quotePrefix="0" xfId="0">
      <alignment horizontal="center"/>
    </xf>
    <xf numFmtId="2" fontId="8" fillId="0" borderId="19" applyAlignment="1" pivotButton="0" quotePrefix="0" xfId="0">
      <alignment horizontal="center"/>
    </xf>
    <xf numFmtId="168" fontId="8" fillId="0" borderId="19" applyAlignment="1" pivotButton="0" quotePrefix="0" xfId="0">
      <alignment horizontal="center"/>
    </xf>
    <xf numFmtId="168" fontId="8" fillId="0" borderId="20" applyAlignment="1" pivotButton="0" quotePrefix="0" xfId="0">
      <alignment horizontal="center"/>
    </xf>
    <xf numFmtId="169" fontId="8" fillId="4" borderId="3" pivotButton="0" quotePrefix="0" xfId="0"/>
    <xf numFmtId="168" fontId="8" fillId="0" borderId="0" pivotButton="0" quotePrefix="0" xfId="0"/>
    <xf numFmtId="168" fontId="3" fillId="0" borderId="0" pivotButton="0" quotePrefix="0" xfId="0"/>
    <xf numFmtId="170" fontId="8" fillId="0" borderId="2" pivotButton="0" quotePrefix="0" xfId="0"/>
    <xf numFmtId="0" fontId="9" fillId="0" borderId="22" pivotButton="0" quotePrefix="0" xfId="0"/>
    <xf numFmtId="0" fontId="3" fillId="0" borderId="23" pivotButton="0" quotePrefix="0" xfId="0"/>
    <xf numFmtId="0" fontId="3" fillId="4" borderId="1" applyAlignment="1" pivotButton="0" quotePrefix="0" xfId="0">
      <alignment horizontal="center"/>
    </xf>
    <xf numFmtId="0" fontId="9" fillId="0" borderId="24" applyAlignment="1" pivotButton="0" quotePrefix="0" xfId="0">
      <alignment horizontal="left"/>
    </xf>
    <xf numFmtId="0" fontId="9" fillId="0" borderId="25" applyAlignment="1" pivotButton="0" quotePrefix="0" xfId="0">
      <alignment horizontal="center"/>
    </xf>
    <xf numFmtId="0" fontId="9" fillId="0" borderId="24" applyAlignment="1" pivotButton="0" quotePrefix="0" xfId="0">
      <alignment horizontal="center"/>
    </xf>
    <xf numFmtId="0" fontId="8" fillId="0" borderId="24" pivotButton="0" quotePrefix="0" xfId="0"/>
    <xf numFmtId="0" fontId="9" fillId="0" borderId="26" pivotButton="0" quotePrefix="0" xfId="0"/>
    <xf numFmtId="0" fontId="9" fillId="0" borderId="27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9" fillId="0" borderId="29" applyAlignment="1" pivotButton="0" quotePrefix="0" xfId="0">
      <alignment horizontal="center"/>
    </xf>
    <xf numFmtId="0" fontId="9" fillId="0" borderId="30" applyAlignment="1" pivotButton="0" quotePrefix="0" xfId="0">
      <alignment horizontal="center"/>
    </xf>
    <xf numFmtId="0" fontId="8" fillId="0" borderId="31" applyAlignment="1" pivotButton="0" quotePrefix="0" xfId="0">
      <alignment horizontal="center"/>
    </xf>
    <xf numFmtId="0" fontId="9" fillId="0" borderId="32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1" fontId="8" fillId="4" borderId="33" applyAlignment="1" pivotButton="0" quotePrefix="0" xfId="0">
      <alignment horizontal="center"/>
    </xf>
    <xf numFmtId="168" fontId="8" fillId="0" borderId="34" applyAlignment="1" pivotButton="0" quotePrefix="0" xfId="0">
      <alignment horizontal="center"/>
    </xf>
    <xf numFmtId="10" fontId="8" fillId="0" borderId="35" applyAlignment="1" pivotButton="0" quotePrefix="0" xfId="0">
      <alignment horizontal="center"/>
    </xf>
    <xf numFmtId="168" fontId="8" fillId="0" borderId="36" applyAlignment="1" pivotButton="0" quotePrefix="0" xfId="0">
      <alignment horizontal="center"/>
    </xf>
    <xf numFmtId="2" fontId="8" fillId="4" borderId="37" applyAlignment="1" pivotButton="0" quotePrefix="0" xfId="0">
      <alignment horizontal="center"/>
    </xf>
    <xf numFmtId="2" fontId="8" fillId="4" borderId="33" applyAlignment="1" pivotButton="0" quotePrefix="0" xfId="0">
      <alignment horizontal="center"/>
    </xf>
    <xf numFmtId="2" fontId="8" fillId="4" borderId="38" applyAlignment="1" pivotButton="0" quotePrefix="0" xfId="0">
      <alignment horizontal="center"/>
    </xf>
    <xf numFmtId="1" fontId="8" fillId="0" borderId="39" applyAlignment="1" pivotButton="0" quotePrefix="0" xfId="0">
      <alignment horizontal="center"/>
    </xf>
    <xf numFmtId="0" fontId="8" fillId="0" borderId="34" pivotButton="0" quotePrefix="0" xfId="0"/>
    <xf numFmtId="10" fontId="8" fillId="0" borderId="39" applyAlignment="1" pivotButton="0" quotePrefix="0" xfId="0">
      <alignment horizontal="center"/>
    </xf>
    <xf numFmtId="10" fontId="8" fillId="0" borderId="34" applyAlignment="1" pivotButton="0" quotePrefix="0" xfId="0">
      <alignment horizontal="center"/>
    </xf>
    <xf numFmtId="0" fontId="8" fillId="0" borderId="40" pivotButton="0" quotePrefix="0" xfId="0"/>
    <xf numFmtId="0" fontId="8" fillId="0" borderId="29" pivotButton="0" quotePrefix="0" xfId="0"/>
    <xf numFmtId="0" fontId="8" fillId="0" borderId="41" pivotButton="0" quotePrefix="0" xfId="0"/>
    <xf numFmtId="0" fontId="8" fillId="5" borderId="1" applyAlignment="1" pivotButton="0" quotePrefix="0" xfId="0">
      <alignment horizontal="center"/>
    </xf>
    <xf numFmtId="1" fontId="8" fillId="0" borderId="42" applyAlignment="1" pivotButton="0" quotePrefix="0" xfId="0">
      <alignment horizontal="center"/>
    </xf>
    <xf numFmtId="1" fontId="8" fillId="0" borderId="43" applyAlignment="1" pivotButton="0" quotePrefix="0" xfId="0">
      <alignment horizontal="center"/>
    </xf>
    <xf numFmtId="168" fontId="8" fillId="0" borderId="42" applyAlignment="1" pivotButton="0" quotePrefix="0" xfId="0">
      <alignment horizontal="center"/>
    </xf>
    <xf numFmtId="10" fontId="8" fillId="0" borderId="43" applyAlignment="1" pivotButton="0" quotePrefix="0" xfId="0">
      <alignment horizontal="center"/>
    </xf>
    <xf numFmtId="171" fontId="8" fillId="0" borderId="35" applyAlignment="1" pivotButton="0" quotePrefix="0" xfId="0">
      <alignment horizontal="center"/>
    </xf>
    <xf numFmtId="0" fontId="8" fillId="0" borderId="44" applyAlignment="1" pivotButton="0" quotePrefix="0" xfId="0">
      <alignment horizontal="center"/>
    </xf>
    <xf numFmtId="0" fontId="8" fillId="0" borderId="45" pivotButton="0" quotePrefix="0" xfId="0"/>
    <xf numFmtId="10" fontId="8" fillId="0" borderId="46" applyAlignment="1" pivotButton="0" quotePrefix="0" xfId="0">
      <alignment horizontal="center"/>
    </xf>
    <xf numFmtId="172" fontId="8" fillId="0" borderId="46" applyAlignment="1" pivotButton="0" quotePrefix="0" xfId="0">
      <alignment horizontal="center"/>
    </xf>
    <xf numFmtId="10" fontId="8" fillId="0" borderId="45" applyAlignment="1" pivotButton="0" quotePrefix="0" xfId="0">
      <alignment horizontal="center"/>
    </xf>
    <xf numFmtId="2" fontId="8" fillId="0" borderId="35" applyAlignment="1" pivotButton="0" quotePrefix="0" xfId="0">
      <alignment horizontal="center"/>
    </xf>
    <xf numFmtId="2" fontId="8" fillId="0" borderId="39" applyAlignment="1" pivotButton="0" quotePrefix="0" xfId="0">
      <alignment horizontal="center"/>
    </xf>
    <xf numFmtId="2" fontId="8" fillId="0" borderId="47" applyAlignment="1" pivotButton="0" quotePrefix="0" xfId="0">
      <alignment horizontal="center"/>
    </xf>
    <xf numFmtId="173" fontId="9" fillId="0" borderId="48" applyAlignment="1" pivotButton="0" quotePrefix="0" xfId="0">
      <alignment horizontal="center"/>
    </xf>
    <xf numFmtId="173" fontId="9" fillId="0" borderId="49" applyAlignment="1" pivotButton="0" quotePrefix="0" xfId="0">
      <alignment horizontal="center"/>
    </xf>
    <xf numFmtId="0" fontId="8" fillId="0" borderId="39" applyAlignment="1" pivotButton="0" quotePrefix="0" xfId="0">
      <alignment horizontal="center"/>
    </xf>
    <xf numFmtId="171" fontId="8" fillId="0" borderId="0" pivotButton="0" quotePrefix="0" xfId="0"/>
    <xf numFmtId="0" fontId="8" fillId="5" borderId="1" pivotButton="0" quotePrefix="0" xfId="0"/>
    <xf numFmtId="0" fontId="8" fillId="6" borderId="1" pivotButton="0" quotePrefix="0" xfId="0"/>
    <xf numFmtId="173" fontId="9" fillId="4" borderId="50" applyAlignment="1" pivotButton="0" quotePrefix="0" xfId="0">
      <alignment horizontal="center"/>
    </xf>
    <xf numFmtId="0" fontId="9" fillId="0" borderId="51" applyAlignment="1" pivotButton="0" quotePrefix="0" xfId="0">
      <alignment horizontal="center"/>
    </xf>
    <xf numFmtId="0" fontId="10" fillId="0" borderId="52" applyAlignment="1" pivotButton="0" quotePrefix="0" xfId="0">
      <alignment horizontal="left"/>
    </xf>
    <xf numFmtId="0" fontId="10" fillId="0" borderId="53" applyAlignment="1" pivotButton="0" quotePrefix="0" xfId="0">
      <alignment horizontal="center"/>
    </xf>
    <xf numFmtId="0" fontId="9" fillId="0" borderId="54" applyAlignment="1" pivotButton="0" quotePrefix="0" xfId="0">
      <alignment horizontal="center"/>
    </xf>
    <xf numFmtId="0" fontId="9" fillId="0" borderId="55" applyAlignment="1" pivotButton="0" quotePrefix="0" xfId="0">
      <alignment horizontal="center"/>
    </xf>
    <xf numFmtId="0" fontId="9" fillId="0" borderId="56" applyAlignment="1" pivotButton="0" quotePrefix="0" xfId="0">
      <alignment horizontal="center"/>
    </xf>
    <xf numFmtId="0" fontId="9" fillId="0" borderId="57" applyAlignment="1" pivotButton="0" quotePrefix="0" xfId="0">
      <alignment horizontal="left"/>
    </xf>
    <xf numFmtId="173" fontId="9" fillId="0" borderId="58" applyAlignment="1" pivotButton="0" quotePrefix="0" xfId="0">
      <alignment horizontal="center"/>
    </xf>
    <xf numFmtId="173" fontId="9" fillId="0" borderId="59" applyAlignment="1" pivotButton="0" quotePrefix="0" xfId="0">
      <alignment horizontal="center"/>
    </xf>
    <xf numFmtId="0" fontId="9" fillId="0" borderId="59" applyAlignment="1" pivotButton="0" quotePrefix="0" xfId="0">
      <alignment horizontal="center"/>
    </xf>
    <xf numFmtId="0" fontId="11" fillId="0" borderId="59" applyAlignment="1" pivotButton="0" quotePrefix="0" xfId="0">
      <alignment horizontal="center"/>
    </xf>
    <xf numFmtId="0" fontId="9" fillId="0" borderId="44" applyAlignment="1" pivotButton="0" quotePrefix="0" xfId="0">
      <alignment horizontal="center"/>
    </xf>
    <xf numFmtId="0" fontId="10" fillId="0" borderId="60" applyAlignment="1" pivotButton="0" quotePrefix="0" xfId="0">
      <alignment horizontal="center"/>
    </xf>
    <xf numFmtId="0" fontId="11" fillId="0" borderId="60" applyAlignment="1" pivotButton="0" quotePrefix="0" xfId="0">
      <alignment horizontal="center"/>
    </xf>
    <xf numFmtId="0" fontId="9" fillId="0" borderId="60" applyAlignment="1" pivotButton="0" quotePrefix="0" xfId="0">
      <alignment horizontal="center"/>
    </xf>
    <xf numFmtId="0" fontId="11" fillId="0" borderId="60" pivotButton="0" quotePrefix="0" xfId="0"/>
    <xf numFmtId="0" fontId="9" fillId="0" borderId="57" applyAlignment="1" pivotButton="0" quotePrefix="0" xfId="0">
      <alignment horizontal="center"/>
    </xf>
    <xf numFmtId="0" fontId="9" fillId="0" borderId="57" pivotButton="0" quotePrefix="0" xfId="0"/>
    <xf numFmtId="0" fontId="9" fillId="7" borderId="1" applyAlignment="1" pivotButton="0" quotePrefix="0" xfId="0">
      <alignment horizontal="left"/>
    </xf>
    <xf numFmtId="9" fontId="12" fillId="7" borderId="1" applyAlignment="1" pivotButton="0" quotePrefix="0" xfId="0">
      <alignment horizontal="center"/>
    </xf>
    <xf numFmtId="172" fontId="12" fillId="7" borderId="1" applyAlignment="1" pivotButton="0" quotePrefix="0" xfId="0">
      <alignment horizontal="center"/>
    </xf>
    <xf numFmtId="172" fontId="8" fillId="0" borderId="24" applyAlignment="1" pivotButton="0" quotePrefix="0" xfId="0">
      <alignment horizontal="right"/>
    </xf>
    <xf numFmtId="172" fontId="8" fillId="0" borderId="61" applyAlignment="1" pivotButton="0" quotePrefix="0" xfId="0">
      <alignment horizontal="center"/>
    </xf>
    <xf numFmtId="0" fontId="8" fillId="0" borderId="25" pivotButton="0" quotePrefix="0" xfId="0"/>
    <xf numFmtId="173" fontId="8" fillId="0" borderId="59" applyAlignment="1" pivotButton="0" quotePrefix="0" xfId="0">
      <alignment horizontal="center"/>
    </xf>
    <xf numFmtId="0" fontId="8" fillId="0" borderId="59" applyAlignment="1" pivotButton="0" quotePrefix="0" xfId="0">
      <alignment horizontal="center"/>
    </xf>
    <xf numFmtId="9" fontId="8" fillId="0" borderId="59" pivotButton="0" quotePrefix="0" xfId="0"/>
    <xf numFmtId="174" fontId="8" fillId="0" borderId="59" applyAlignment="1" pivotButton="0" quotePrefix="0" xfId="0">
      <alignment horizontal="center"/>
    </xf>
    <xf numFmtId="175" fontId="9" fillId="0" borderId="59" pivotButton="0" quotePrefix="0" xfId="0"/>
    <xf numFmtId="0" fontId="13" fillId="7" borderId="62" pivotButton="0" quotePrefix="0" xfId="0"/>
    <xf numFmtId="168" fontId="12" fillId="7" borderId="63" applyAlignment="1" pivotButton="0" quotePrefix="0" xfId="0">
      <alignment horizontal="center"/>
    </xf>
    <xf numFmtId="176" fontId="8" fillId="0" borderId="51" applyAlignment="1" pivotButton="0" quotePrefix="0" xfId="0">
      <alignment horizontal="right"/>
    </xf>
    <xf numFmtId="1" fontId="8" fillId="0" borderId="51" applyAlignment="1" pivotButton="0" quotePrefix="0" xfId="0">
      <alignment horizontal="center"/>
    </xf>
    <xf numFmtId="9" fontId="8" fillId="0" borderId="51" applyAlignment="1" pivotButton="0" quotePrefix="0" xfId="0">
      <alignment horizontal="center"/>
    </xf>
    <xf numFmtId="0" fontId="8" fillId="0" borderId="51" pivotButton="0" quotePrefix="0" xfId="0"/>
    <xf numFmtId="173" fontId="8" fillId="0" borderId="64" pivotButton="0" quotePrefix="0" xfId="0"/>
    <xf numFmtId="175" fontId="8" fillId="0" borderId="51" applyAlignment="1" pivotButton="0" quotePrefix="0" xfId="0">
      <alignment horizontal="center"/>
    </xf>
    <xf numFmtId="0" fontId="13" fillId="7" borderId="65" pivotButton="0" quotePrefix="0" xfId="0"/>
    <xf numFmtId="168" fontId="12" fillId="7" borderId="1" applyAlignment="1" pivotButton="0" quotePrefix="0" xfId="0">
      <alignment horizontal="center"/>
    </xf>
    <xf numFmtId="2" fontId="12" fillId="7" borderId="1" applyAlignment="1" pivotButton="0" quotePrefix="0" xfId="0">
      <alignment horizontal="center"/>
    </xf>
    <xf numFmtId="176" fontId="8" fillId="0" borderId="29" applyAlignment="1" pivotButton="0" quotePrefix="0" xfId="0">
      <alignment horizontal="right"/>
    </xf>
    <xf numFmtId="1" fontId="8" fillId="0" borderId="29" applyAlignment="1" pivotButton="0" quotePrefix="0" xfId="0">
      <alignment horizontal="center"/>
    </xf>
    <xf numFmtId="9" fontId="8" fillId="0" borderId="29" applyAlignment="1" pivotButton="0" quotePrefix="0" xfId="0">
      <alignment horizontal="center"/>
    </xf>
    <xf numFmtId="0" fontId="8" fillId="0" borderId="39" pivotButton="0" quotePrefix="0" xfId="0"/>
    <xf numFmtId="173" fontId="8" fillId="0" borderId="34" pivotButton="0" quotePrefix="0" xfId="0"/>
    <xf numFmtId="175" fontId="8" fillId="0" borderId="29" applyAlignment="1" pivotButton="0" quotePrefix="0" xfId="0">
      <alignment horizontal="center"/>
    </xf>
    <xf numFmtId="168" fontId="14" fillId="7" borderId="1" applyAlignment="1" pivotButton="0" quotePrefix="0" xfId="0">
      <alignment horizontal="center"/>
    </xf>
    <xf numFmtId="177" fontId="8" fillId="0" borderId="46" applyAlignment="1" pivotButton="0" quotePrefix="0" xfId="0">
      <alignment horizontal="right"/>
    </xf>
    <xf numFmtId="1" fontId="8" fillId="0" borderId="46" applyAlignment="1" pivotButton="0" quotePrefix="0" xfId="0">
      <alignment horizontal="center"/>
    </xf>
    <xf numFmtId="9" fontId="8" fillId="0" borderId="46" applyAlignment="1" pivotButton="0" quotePrefix="0" xfId="0">
      <alignment horizontal="center"/>
    </xf>
    <xf numFmtId="0" fontId="8" fillId="0" borderId="46" pivotButton="0" quotePrefix="0" xfId="0"/>
    <xf numFmtId="173" fontId="8" fillId="0" borderId="43" pivotButton="0" quotePrefix="0" xfId="0"/>
    <xf numFmtId="0" fontId="9" fillId="0" borderId="66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177" fontId="9" fillId="0" borderId="60" applyAlignment="1" pivotButton="0" quotePrefix="0" xfId="0">
      <alignment horizontal="center"/>
    </xf>
    <xf numFmtId="1" fontId="9" fillId="0" borderId="60" applyAlignment="1" pivotButton="0" quotePrefix="0" xfId="0">
      <alignment horizontal="center"/>
    </xf>
    <xf numFmtId="9" fontId="9" fillId="0" borderId="60" applyAlignment="1" pivotButton="0" quotePrefix="0" xfId="0">
      <alignment horizontal="center"/>
    </xf>
    <xf numFmtId="0" fontId="8" fillId="0" borderId="60" pivotButton="0" quotePrefix="0" xfId="0"/>
    <xf numFmtId="0" fontId="8" fillId="0" borderId="23" pivotButton="0" quotePrefix="0" xfId="0"/>
    <xf numFmtId="175" fontId="9" fillId="0" borderId="67" applyAlignment="1" pivotButton="0" quotePrefix="0" xfId="0">
      <alignment horizontal="center"/>
    </xf>
    <xf numFmtId="176" fontId="8" fillId="0" borderId="68" applyAlignment="1" pivotButton="0" quotePrefix="0" xfId="0">
      <alignment horizontal="right"/>
    </xf>
    <xf numFmtId="1" fontId="8" fillId="0" borderId="69" applyAlignment="1" pivotButton="0" quotePrefix="0" xfId="0">
      <alignment horizontal="center"/>
    </xf>
    <xf numFmtId="9" fontId="8" fillId="0" borderId="70" applyAlignment="1" pivotButton="0" quotePrefix="0" xfId="0">
      <alignment horizontal="center"/>
    </xf>
    <xf numFmtId="9" fontId="8" fillId="0" borderId="39" applyAlignment="1" pivotButton="0" quotePrefix="0" xfId="0">
      <alignment horizontal="center"/>
    </xf>
    <xf numFmtId="0" fontId="8" fillId="7" borderId="33" pivotButton="0" quotePrefix="0" xfId="0"/>
    <xf numFmtId="173" fontId="8" fillId="0" borderId="35" pivotButton="0" quotePrefix="0" xfId="0"/>
    <xf numFmtId="175" fontId="8" fillId="0" borderId="39" applyAlignment="1" pivotButton="0" quotePrefix="0" xfId="0">
      <alignment horizontal="center"/>
    </xf>
    <xf numFmtId="168" fontId="8" fillId="7" borderId="1" applyAlignment="1" pivotButton="0" quotePrefix="0" xfId="0">
      <alignment horizontal="center"/>
    </xf>
    <xf numFmtId="176" fontId="8" fillId="0" borderId="71" applyAlignment="1" pivotButton="0" quotePrefix="0" xfId="0">
      <alignment horizontal="right"/>
    </xf>
    <xf numFmtId="1" fontId="8" fillId="0" borderId="72" applyAlignment="1" pivotButton="0" quotePrefix="0" xfId="0">
      <alignment horizontal="center"/>
    </xf>
    <xf numFmtId="9" fontId="8" fillId="7" borderId="29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176" fontId="8" fillId="0" borderId="73" applyAlignment="1" pivotButton="0" quotePrefix="0" xfId="0">
      <alignment horizontal="right"/>
    </xf>
    <xf numFmtId="1" fontId="8" fillId="0" borderId="74" applyAlignment="1" pivotButton="0" quotePrefix="0" xfId="0">
      <alignment horizontal="center"/>
    </xf>
    <xf numFmtId="9" fontId="8" fillId="0" borderId="44" applyAlignment="1" pivotButton="0" quotePrefix="0" xfId="0">
      <alignment horizontal="center"/>
    </xf>
    <xf numFmtId="0" fontId="8" fillId="0" borderId="44" pivotButton="0" quotePrefix="0" xfId="0"/>
    <xf numFmtId="0" fontId="9" fillId="0" borderId="52" applyAlignment="1" pivotButton="0" quotePrefix="0" xfId="0">
      <alignment horizontal="right"/>
    </xf>
    <xf numFmtId="0" fontId="15" fillId="0" borderId="50" pivotButton="0" quotePrefix="0" xfId="0"/>
    <xf numFmtId="0" fontId="15" fillId="0" borderId="53" pivotButton="0" quotePrefix="0" xfId="0"/>
    <xf numFmtId="168" fontId="9" fillId="0" borderId="75" applyAlignment="1" pivotButton="0" quotePrefix="0" xfId="0">
      <alignment horizontal="right"/>
    </xf>
    <xf numFmtId="1" fontId="9" fillId="0" borderId="76" applyAlignment="1" pivotButton="0" quotePrefix="0" xfId="0">
      <alignment horizontal="center"/>
    </xf>
    <xf numFmtId="9" fontId="9" fillId="0" borderId="50" applyAlignment="1" pivotButton="0" quotePrefix="0" xfId="0">
      <alignment horizontal="center"/>
    </xf>
    <xf numFmtId="0" fontId="9" fillId="7" borderId="50" pivotButton="0" quotePrefix="0" xfId="0"/>
    <xf numFmtId="0" fontId="9" fillId="0" borderId="50" applyAlignment="1" pivotButton="0" quotePrefix="0" xfId="0">
      <alignment horizontal="center"/>
    </xf>
    <xf numFmtId="0" fontId="9" fillId="0" borderId="50" pivotButton="0" quotePrefix="0" xfId="0"/>
    <xf numFmtId="175" fontId="9" fillId="0" borderId="53" applyAlignment="1" pivotButton="0" quotePrefix="0" xfId="0">
      <alignment horizontal="center"/>
    </xf>
    <xf numFmtId="0" fontId="9" fillId="7" borderId="52" applyAlignment="1" pivotButton="0" quotePrefix="0" xfId="0">
      <alignment horizontal="center"/>
    </xf>
    <xf numFmtId="0" fontId="3" fillId="0" borderId="77" applyAlignment="1" pivotButton="0" quotePrefix="0" xfId="0">
      <alignment horizontal="center"/>
    </xf>
    <xf numFmtId="0" fontId="3" fillId="6" borderId="1" pivotButton="0" quotePrefix="0" xfId="0"/>
    <xf numFmtId="0" fontId="9" fillId="0" borderId="51" applyAlignment="1" pivotButton="0" quotePrefix="0" xfId="0">
      <alignment horizontal="left"/>
    </xf>
    <xf numFmtId="0" fontId="9" fillId="0" borderId="64" applyAlignment="1" pivotButton="0" quotePrefix="0" xfId="0">
      <alignment horizontal="left"/>
    </xf>
    <xf numFmtId="173" fontId="9" fillId="0" borderId="51" applyAlignment="1" pivotButton="0" quotePrefix="0" xfId="0">
      <alignment horizontal="center"/>
    </xf>
    <xf numFmtId="173" fontId="9" fillId="0" borderId="64" pivotButton="0" quotePrefix="0" xfId="0"/>
    <xf numFmtId="173" fontId="9" fillId="0" borderId="78" applyAlignment="1" pivotButton="0" quotePrefix="0" xfId="0">
      <alignment horizontal="center"/>
    </xf>
    <xf numFmtId="173" fontId="9" fillId="0" borderId="79" applyAlignment="1" pivotButton="0" quotePrefix="0" xfId="0">
      <alignment horizontal="center"/>
    </xf>
    <xf numFmtId="0" fontId="9" fillId="0" borderId="80" applyAlignment="1" pivotButton="0" quotePrefix="0" xfId="0">
      <alignment horizontal="center"/>
    </xf>
    <xf numFmtId="9" fontId="8" fillId="0" borderId="81" pivotButton="0" quotePrefix="0" xfId="0"/>
    <xf numFmtId="0" fontId="3" fillId="0" borderId="0" applyAlignment="1" pivotButton="0" quotePrefix="0" xfId="0">
      <alignment horizontal="center"/>
    </xf>
    <xf numFmtId="10" fontId="8" fillId="0" borderId="80" pivotButton="0" quotePrefix="0" xfId="0"/>
    <xf numFmtId="0" fontId="8" fillId="0" borderId="82" pivotButton="0" quotePrefix="0" xfId="0"/>
    <xf numFmtId="0" fontId="9" fillId="0" borderId="29" applyAlignment="1" pivotButton="0" quotePrefix="0" xfId="0">
      <alignment horizontal="left"/>
    </xf>
    <xf numFmtId="0" fontId="9" fillId="0" borderId="34" applyAlignment="1" pivotButton="0" quotePrefix="0" xfId="0">
      <alignment horizontal="left"/>
    </xf>
    <xf numFmtId="173" fontId="9" fillId="0" borderId="29" applyAlignment="1" pivotButton="0" quotePrefix="0" xfId="0">
      <alignment horizontal="center"/>
    </xf>
    <xf numFmtId="173" fontId="9" fillId="0" borderId="34" pivotButton="0" quotePrefix="0" xfId="0"/>
    <xf numFmtId="173" fontId="9" fillId="0" borderId="71" applyAlignment="1" pivotButton="0" quotePrefix="0" xfId="0">
      <alignment horizontal="center"/>
    </xf>
    <xf numFmtId="173" fontId="9" fillId="0" borderId="83" applyAlignment="1" pivotButton="0" quotePrefix="0" xfId="0">
      <alignment horizontal="center"/>
    </xf>
    <xf numFmtId="0" fontId="9" fillId="0" borderId="84" applyAlignment="1" pivotButton="0" quotePrefix="0" xfId="0">
      <alignment horizontal="center"/>
    </xf>
    <xf numFmtId="10" fontId="8" fillId="0" borderId="84" pivotButton="0" quotePrefix="0" xfId="0"/>
    <xf numFmtId="0" fontId="8" fillId="0" borderId="85" pivotButton="0" quotePrefix="0" xfId="0"/>
    <xf numFmtId="173" fontId="3" fillId="0" borderId="0" pivotButton="0" quotePrefix="0" xfId="0"/>
    <xf numFmtId="0" fontId="9" fillId="0" borderId="29" pivotButton="0" quotePrefix="0" xfId="0"/>
    <xf numFmtId="0" fontId="9" fillId="0" borderId="46" applyAlignment="1" pivotButton="0" quotePrefix="0" xfId="0">
      <alignment horizontal="left"/>
    </xf>
    <xf numFmtId="0" fontId="9" fillId="0" borderId="43" applyAlignment="1" pivotButton="0" quotePrefix="0" xfId="0">
      <alignment horizontal="left"/>
    </xf>
    <xf numFmtId="0" fontId="8" fillId="0" borderId="86" applyAlignment="1" pivotButton="0" quotePrefix="0" xfId="0">
      <alignment horizontal="center"/>
    </xf>
    <xf numFmtId="0" fontId="8" fillId="0" borderId="87" applyAlignment="1" pivotButton="0" quotePrefix="0" xfId="0">
      <alignment horizontal="center"/>
    </xf>
    <xf numFmtId="0" fontId="9" fillId="0" borderId="88" applyAlignment="1" pivotButton="0" quotePrefix="0" xfId="0">
      <alignment horizontal="center"/>
    </xf>
    <xf numFmtId="9" fontId="8" fillId="0" borderId="89" pivotButton="0" quotePrefix="0" xfId="0"/>
    <xf numFmtId="0" fontId="3" fillId="0" borderId="90" applyAlignment="1" pivotButton="0" quotePrefix="0" xfId="0">
      <alignment horizontal="center"/>
    </xf>
    <xf numFmtId="10" fontId="8" fillId="0" borderId="88" pivotButton="0" quotePrefix="0" xfId="0"/>
    <xf numFmtId="0" fontId="8" fillId="0" borderId="91" pivotButton="0" quotePrefix="0" xfId="0"/>
    <xf numFmtId="0" fontId="8" fillId="0" borderId="92" pivotButton="0" quotePrefix="0" xfId="0"/>
    <xf numFmtId="173" fontId="9" fillId="0" borderId="93" applyAlignment="1" pivotButton="0" quotePrefix="0" xfId="0">
      <alignment horizontal="center"/>
    </xf>
    <xf numFmtId="0" fontId="9" fillId="0" borderId="30" pivotButton="0" quotePrefix="0" xfId="0"/>
    <xf numFmtId="173" fontId="9" fillId="0" borderId="29" pivotButton="0" quotePrefix="0" xfId="0"/>
    <xf numFmtId="173" fontId="9" fillId="0" borderId="72" applyAlignment="1" pivotButton="0" quotePrefix="0" xfId="0">
      <alignment horizontal="center"/>
    </xf>
    <xf numFmtId="0" fontId="8" fillId="0" borderId="94" applyAlignment="1" pivotButton="0" quotePrefix="0" xfId="0">
      <alignment horizontal="center"/>
    </xf>
    <xf numFmtId="0" fontId="8" fillId="0" borderId="95" pivotButton="0" quotePrefix="0" xfId="0"/>
    <xf numFmtId="0" fontId="8" fillId="0" borderId="96" applyAlignment="1" pivotButton="0" quotePrefix="0" xfId="0">
      <alignment horizontal="center"/>
    </xf>
    <xf numFmtId="0" fontId="9" fillId="0" borderId="52" pivotButton="0" quotePrefix="0" xfId="0"/>
    <xf numFmtId="0" fontId="8" fillId="0" borderId="50" pivotButton="0" quotePrefix="0" xfId="0"/>
    <xf numFmtId="173" fontId="9" fillId="0" borderId="50" applyAlignment="1" pivotButton="0" quotePrefix="0" xfId="0">
      <alignment horizontal="center"/>
    </xf>
    <xf numFmtId="173" fontId="9" fillId="0" borderId="53" applyAlignment="1" pivotButton="0" quotePrefix="0" xfId="0">
      <alignment horizontal="center"/>
    </xf>
    <xf numFmtId="0" fontId="9" fillId="0" borderId="52" applyAlignment="1" pivotButton="0" quotePrefix="0" xfId="0">
      <alignment horizontal="left"/>
    </xf>
    <xf numFmtId="0" fontId="9" fillId="0" borderId="50" applyAlignment="1" pivotButton="0" quotePrefix="0" xfId="0">
      <alignment horizontal="left"/>
    </xf>
    <xf numFmtId="0" fontId="9" fillId="0" borderId="52" applyAlignment="1" pivotButton="0" quotePrefix="0" xfId="0">
      <alignment horizontal="center"/>
    </xf>
    <xf numFmtId="2" fontId="9" fillId="0" borderId="50" applyAlignment="1" pivotButton="0" quotePrefix="0" xfId="0">
      <alignment horizontal="center"/>
    </xf>
    <xf numFmtId="174" fontId="9" fillId="0" borderId="50" pivotButton="0" quotePrefix="0" xfId="0"/>
    <xf numFmtId="173" fontId="9" fillId="0" borderId="53" pivotButton="0" quotePrefix="0" xfId="0"/>
    <xf numFmtId="173" fontId="9" fillId="0" borderId="0" pivotButton="0" quotePrefix="0" xfId="0"/>
    <xf numFmtId="168" fontId="8" fillId="0" borderId="90" applyAlignment="1" pivotButton="0" quotePrefix="0" xfId="0">
      <alignment horizontal="left"/>
    </xf>
    <xf numFmtId="0" fontId="8" fillId="0" borderId="90" pivotButton="0" quotePrefix="0" xfId="0"/>
    <xf numFmtId="168" fontId="8" fillId="0" borderId="0" applyAlignment="1" pivotButton="0" quotePrefix="0" xfId="0">
      <alignment horizontal="center"/>
    </xf>
    <xf numFmtId="0" fontId="8" fillId="0" borderId="90" applyAlignment="1" pivotButton="0" quotePrefix="0" xfId="0">
      <alignment horizontal="center"/>
    </xf>
    <xf numFmtId="168" fontId="8" fillId="0" borderId="90" applyAlignment="1" pivotButton="0" quotePrefix="0" xfId="0">
      <alignment horizontal="center"/>
    </xf>
    <xf numFmtId="2" fontId="8" fillId="0" borderId="14" applyAlignment="1" pivotButton="0" quotePrefix="0" xfId="0">
      <alignment horizontal="center"/>
    </xf>
    <xf numFmtId="9" fontId="9" fillId="0" borderId="0" applyAlignment="1" pivotButton="0" quotePrefix="0" xfId="0">
      <alignment horizontal="center"/>
    </xf>
    <xf numFmtId="0" fontId="8" fillId="0" borderId="60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/>
    </xf>
    <xf numFmtId="0" fontId="8" fillId="0" borderId="6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wrapText="1"/>
    </xf>
    <xf numFmtId="178" fontId="8" fillId="0" borderId="0" applyAlignment="1" pivotButton="0" quotePrefix="0" xfId="0">
      <alignment horizontal="center"/>
    </xf>
    <xf numFmtId="0" fontId="13" fillId="0" borderId="60" applyAlignment="1" pivotButton="0" quotePrefix="0" xfId="0">
      <alignment horizontal="center" vertical="center"/>
    </xf>
    <xf numFmtId="0" fontId="13" fillId="0" borderId="57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/>
    </xf>
    <xf numFmtId="0" fontId="8" fillId="0" borderId="60" applyAlignment="1" pivotButton="0" quotePrefix="0" xfId="0">
      <alignment horizontal="center" vertical="center" wrapText="1"/>
    </xf>
    <xf numFmtId="0" fontId="8" fillId="0" borderId="35" applyAlignment="1" pivotButton="0" quotePrefix="0" xfId="0">
      <alignment horizontal="center" vertical="center" shrinkToFit="1"/>
    </xf>
    <xf numFmtId="0" fontId="8" fillId="0" borderId="60" applyAlignment="1" pivotButton="0" quotePrefix="0" xfId="0">
      <alignment horizontal="center" vertical="top" wrapText="1"/>
    </xf>
    <xf numFmtId="0" fontId="8" fillId="0" borderId="58" applyAlignment="1" pivotButton="0" quotePrefix="0" xfId="0">
      <alignment horizontal="center" vertical="center"/>
    </xf>
    <xf numFmtId="0" fontId="8" fillId="0" borderId="48" applyAlignment="1" pivotButton="0" quotePrefix="0" xfId="0">
      <alignment horizontal="center" vertical="center"/>
    </xf>
    <xf numFmtId="0" fontId="8" fillId="0" borderId="100" applyAlignment="1" pivotButton="0" quotePrefix="0" xfId="0">
      <alignment horizontal="center" vertical="center"/>
    </xf>
    <xf numFmtId="0" fontId="8" fillId="0" borderId="49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78" fontId="8" fillId="0" borderId="0" applyAlignment="1" pivotButton="0" quotePrefix="0" xfId="0">
      <alignment horizontal="center" vertical="center" wrapText="1"/>
    </xf>
    <xf numFmtId="0" fontId="8" fillId="0" borderId="6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8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top" wrapText="1"/>
    </xf>
    <xf numFmtId="21" fontId="9" fillId="0" borderId="0" pivotButton="0" quotePrefix="0" xfId="0"/>
    <xf numFmtId="168" fontId="9" fillId="0" borderId="0" pivotButton="0" quotePrefix="0" xfId="0"/>
    <xf numFmtId="179" fontId="9" fillId="0" borderId="0" pivotButton="0" quotePrefix="0" xfId="0"/>
    <xf numFmtId="2" fontId="9" fillId="0" borderId="0" applyAlignment="1" pivotButton="0" quotePrefix="0" xfId="0">
      <alignment horizontal="center"/>
    </xf>
    <xf numFmtId="172" fontId="9" fillId="0" borderId="0" applyAlignment="1" pivotButton="0" quotePrefix="0" xfId="0">
      <alignment horizontal="center"/>
    </xf>
    <xf numFmtId="9" fontId="9" fillId="0" borderId="0" pivotButton="0" quotePrefix="0" xfId="0"/>
    <xf numFmtId="173" fontId="9" fillId="0" borderId="0" applyAlignment="1" pivotButton="0" quotePrefix="0" xfId="0">
      <alignment horizontal="center"/>
    </xf>
    <xf numFmtId="16" fontId="8" fillId="0" borderId="0" applyAlignment="1" pivotButton="0" quotePrefix="0" xfId="0">
      <alignment horizontal="center"/>
    </xf>
    <xf numFmtId="179" fontId="8" fillId="0" borderId="0" applyAlignment="1" pivotButton="0" quotePrefix="0" xfId="0">
      <alignment horizontal="center"/>
    </xf>
    <xf numFmtId="2" fontId="8" fillId="0" borderId="0" applyAlignment="1" pivotButton="0" quotePrefix="0" xfId="0">
      <alignment horizontal="center"/>
    </xf>
    <xf numFmtId="172" fontId="8" fillId="0" borderId="0" applyAlignment="1" pivotButton="0" quotePrefix="0" xfId="0">
      <alignment horizontal="center"/>
    </xf>
    <xf numFmtId="9" fontId="8" fillId="0" borderId="0" applyAlignment="1" pivotButton="0" quotePrefix="0" xfId="0">
      <alignment horizontal="center"/>
    </xf>
    <xf numFmtId="173" fontId="8" fillId="0" borderId="0" applyAlignment="1" pivotButton="0" quotePrefix="0" xfId="0">
      <alignment horizontal="center"/>
    </xf>
    <xf numFmtId="180" fontId="3" fillId="0" borderId="0" applyAlignment="1" pivotButton="0" quotePrefix="0" xfId="0">
      <alignment horizontal="center"/>
    </xf>
    <xf numFmtId="16" fontId="8" fillId="0" borderId="0" pivotButton="0" quotePrefix="0" xfId="0"/>
    <xf numFmtId="3" fontId="8" fillId="0" borderId="0" applyAlignment="1" pivotButton="0" quotePrefix="0" xfId="0">
      <alignment horizontal="center" vertical="center"/>
    </xf>
    <xf numFmtId="0" fontId="3" fillId="8" borderId="1" pivotButton="0" quotePrefix="0" xfId="0"/>
    <xf numFmtId="0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3" fillId="0" borderId="101" pivotButton="0" quotePrefix="0" xfId="0"/>
    <xf numFmtId="22" fontId="9" fillId="0" borderId="101" applyAlignment="1" pivotButton="0" quotePrefix="0" xfId="0">
      <alignment horizontal="right" vertical="center"/>
    </xf>
    <xf numFmtId="16" fontId="9" fillId="0" borderId="101" applyAlignment="1" pivotButton="0" quotePrefix="0" xfId="0">
      <alignment horizontal="right" vertical="center"/>
    </xf>
    <xf numFmtId="0" fontId="9" fillId="0" borderId="10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2" applyAlignment="1" pivotButton="0" quotePrefix="0" xfId="0">
      <alignment horizontal="left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0" fontId="9" fillId="0" borderId="60" applyAlignment="1" pivotButton="0" quotePrefix="0" xfId="0">
      <alignment horizontal="center"/>
    </xf>
    <xf numFmtId="0" fontId="0" fillId="0" borderId="23" pivotButton="0" quotePrefix="0" xfId="0"/>
    <xf numFmtId="0" fontId="0" fillId="0" borderId="77" pivotButton="0" quotePrefix="0" xfId="0"/>
    <xf numFmtId="0" fontId="8" fillId="0" borderId="21" applyAlignment="1" pivotButton="0" quotePrefix="0" xfId="0">
      <alignment horizontal="center"/>
    </xf>
    <xf numFmtId="0" fontId="0" fillId="0" borderId="21" pivotButton="0" quotePrefix="0" xfId="0"/>
    <xf numFmtId="0" fontId="1" fillId="4" borderId="1" applyAlignment="1" pivotButton="0" quotePrefix="0" xfId="0">
      <alignment horizontal="center"/>
    </xf>
    <xf numFmtId="0" fontId="8" fillId="0" borderId="60" applyAlignment="1" pivotButton="0" quotePrefix="0" xfId="0">
      <alignment horizontal="center"/>
    </xf>
    <xf numFmtId="0" fontId="8" fillId="0" borderId="102" applyAlignment="1" pivotButton="0" quotePrefix="0" xfId="0">
      <alignment horizontal="center" vertical="center"/>
    </xf>
    <xf numFmtId="0" fontId="0" fillId="0" borderId="98" pivotButton="0" quotePrefix="0" xfId="0"/>
    <xf numFmtId="0" fontId="0" fillId="0" borderId="99" pivotButton="0" quotePrefix="0" xfId="0"/>
    <xf numFmtId="0" fontId="8" fillId="0" borderId="2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0" fillId="0" borderId="97" pivotButton="0" quotePrefix="0" xfId="0"/>
    <xf numFmtId="0" fontId="8" fillId="0" borderId="6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9" fillId="0" borderId="3" applyAlignment="1" pivotButton="0" quotePrefix="0" xfId="0">
      <alignment horizontal="left"/>
    </xf>
    <xf numFmtId="0" fontId="0" fillId="0" borderId="3" pivotButton="0" quotePrefix="0" xfId="0"/>
    <xf numFmtId="0" fontId="8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CLASIFICACION S.E.U.R.O.P</a:t>
            </a:r>
          </a:p>
        </rich>
      </tx>
      <layout>
        <manualLayout>
          <xMode val="edge"/>
          <yMode val="edge"/>
          <wMode val="factor"/>
          <hMode val="factor"/>
          <x val="0.2538747384156304"/>
          <y val="0.0127597803662180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1110385728400832"/>
          <y val="0.2409269189679369"/>
          <w val="0.5501501214217376"/>
          <h val="0.7117345815644016"/>
        </manualLayout>
      </layout>
      <pie3D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70C0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rgbClr val="FFFF00"/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accent4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lIQUIDACION!$Q$35:$Q$40</f>
              <strCache>
                <ptCount val="6"/>
                <pt idx="0">
                  <v>S</v>
                </pt>
                <pt idx="1">
                  <v>E</v>
                </pt>
                <pt idx="2">
                  <v>U</v>
                </pt>
                <pt idx="3">
                  <v xml:space="preserve">R </v>
                </pt>
                <pt idx="4">
                  <v>O</v>
                </pt>
                <pt idx="5">
                  <v>P</v>
                </pt>
              </strCache>
            </strRef>
          </cat>
          <val>
            <numRef>
              <f>lIQUIDACION!$R$35:$R$40</f>
              <numCache>
                <formatCode>0%</formatCode>
                <ptCount val="6"/>
                <pt idx="0">
                  <v>0.1</v>
                </pt>
                <pt idx="1">
                  <v>0.7</v>
                </pt>
                <pt idx="2">
                  <v>0.175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factor"/>
          <hMode val="factor"/>
          <x val="0.9110010243588686"/>
          <y val="0.1571544556902418"/>
        </manualLayout>
      </layout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CO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38100</colOff>
      <row>39</row>
      <rowOff>19050</rowOff>
    </from>
    <ext cx="3171825" cy="19812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10" defaultColWidth="14.5" defaultRowHeight="15" customHeight="1"/>
  <cols>
    <col width="10.6640625" customWidth="1" style="314" min="1" max="1"/>
    <col width="21.5" customWidth="1" style="314" min="2" max="3"/>
    <col width="19.6640625" customWidth="1" style="314" min="4" max="4"/>
    <col width="10.6640625" customWidth="1" style="314" min="5" max="26"/>
  </cols>
  <sheetData>
    <row r="1" ht="14.25" customHeight="1" s="314">
      <c r="A1" s="1" t="inlineStr">
        <is>
          <t>Lote</t>
        </is>
      </c>
      <c r="B1" s="1" t="inlineStr">
        <is>
          <t>Pesado el</t>
        </is>
      </c>
      <c r="C1" s="1" t="inlineStr">
        <is>
          <t>Llegada el</t>
        </is>
      </c>
      <c r="D1" s="1" t="inlineStr">
        <is>
          <t>desembarcado</t>
        </is>
      </c>
      <c r="E1" s="1" t="inlineStr">
        <is>
          <t>cantidad</t>
        </is>
      </c>
      <c r="F1" s="1" t="inlineStr">
        <is>
          <t>pesados</t>
        </is>
      </c>
      <c r="G1" s="1" t="inlineStr">
        <is>
          <t>Total pesados (kg)</t>
        </is>
      </c>
      <c r="H1" s="1" t="inlineStr">
        <is>
          <t>Peso promedio (kg)</t>
        </is>
      </c>
      <c r="I1" s="1" t="inlineStr">
        <is>
          <t>Cliente planta</t>
        </is>
      </c>
      <c r="J1" s="2" t="inlineStr">
        <is>
          <t>Granja</t>
        </is>
      </c>
      <c r="K1" s="1" t="n"/>
      <c r="L1" s="1" t="n"/>
    </row>
    <row r="2" ht="14.25" customHeight="1" s="314">
      <c r="A2" s="3" t="inlineStr">
        <is>
          <t>250627-6566</t>
        </is>
      </c>
      <c r="B2" s="4" t="inlineStr">
        <is>
          <t>2025-06-27 18:26:16</t>
        </is>
      </c>
      <c r="C2" s="4" t="inlineStr">
        <is>
          <t>2025-06-27 17:12:56</t>
        </is>
      </c>
      <c r="D2" s="4" t="inlineStr">
        <is>
          <t>2025-06-27 18:24:16</t>
        </is>
      </c>
      <c r="E2" s="5" t="n">
        <v>40</v>
      </c>
      <c r="F2" s="5" t="n">
        <v>40</v>
      </c>
      <c r="G2" s="5" t="n">
        <v>4574</v>
      </c>
      <c r="H2" s="5" t="n">
        <v>114.35</v>
      </c>
      <c r="I2" s="3" t="inlineStr">
        <is>
          <t>IVAN ECHEVERRI PALACIO</t>
        </is>
      </c>
      <c r="J2" s="3" t="inlineStr">
        <is>
          <t>INVERSIONES SOGA SA</t>
        </is>
      </c>
    </row>
    <row r="3" ht="14.25" customHeight="1" s="314">
      <c r="A3" s="3" t="n"/>
      <c r="B3" s="4" t="n"/>
      <c r="C3" s="4" t="n"/>
      <c r="D3" s="4" t="n"/>
      <c r="E3" s="5" t="n"/>
      <c r="F3" s="5" t="n"/>
      <c r="G3" s="5" t="n"/>
      <c r="H3" s="5" t="n"/>
      <c r="I3" s="3" t="n"/>
      <c r="J3" s="3" t="n"/>
      <c r="K3" s="6" t="n"/>
      <c r="L3" s="7" t="n"/>
    </row>
    <row r="4" ht="14.25" customHeight="1" s="314"/>
    <row r="5" ht="14.25" customHeight="1" s="314">
      <c r="A5" s="3" t="n"/>
      <c r="B5" s="4" t="n"/>
      <c r="C5" s="4" t="n"/>
      <c r="D5" s="4" t="n"/>
      <c r="E5" s="5" t="n"/>
      <c r="F5" s="5" t="n"/>
      <c r="G5" s="5" t="n"/>
      <c r="H5" s="5" t="n"/>
      <c r="I5" s="7" t="n"/>
      <c r="J5" s="7" t="n"/>
      <c r="K5" s="7" t="n"/>
      <c r="L5" s="7" t="n"/>
    </row>
    <row r="6" ht="14.25" customHeight="1" s="314">
      <c r="A6" s="3" t="n"/>
      <c r="B6" s="4" t="n"/>
      <c r="C6" s="4" t="n"/>
      <c r="D6" s="4" t="n"/>
      <c r="E6" s="5" t="n"/>
      <c r="F6" s="5" t="n"/>
      <c r="G6" s="5" t="n"/>
      <c r="H6" s="5" t="n"/>
      <c r="I6" s="7" t="n"/>
      <c r="J6" s="7" t="n"/>
      <c r="K6" s="7" t="n"/>
      <c r="L6" s="7" t="n"/>
    </row>
    <row r="7" ht="14.25" customHeight="1" s="314">
      <c r="A7" s="3" t="n"/>
      <c r="B7" s="4" t="n"/>
      <c r="C7" s="4" t="n"/>
      <c r="D7" s="4" t="n"/>
      <c r="E7" s="5" t="n"/>
      <c r="F7" s="5" t="n"/>
      <c r="G7" s="5" t="n"/>
      <c r="H7" s="5" t="n"/>
      <c r="I7" s="7" t="n"/>
      <c r="J7" s="7" t="n"/>
      <c r="K7" s="7" t="n"/>
      <c r="L7" s="7" t="n"/>
    </row>
    <row r="8" ht="14.25" customHeight="1" s="314">
      <c r="A8" s="3" t="n"/>
      <c r="B8" s="4" t="n"/>
      <c r="C8" s="4" t="n"/>
      <c r="D8" s="4" t="n"/>
      <c r="E8" s="5" t="n"/>
      <c r="F8" s="5" t="n"/>
      <c r="G8" s="5" t="n"/>
      <c r="H8" s="5" t="n"/>
      <c r="I8" s="7" t="n"/>
      <c r="J8" s="7" t="n"/>
      <c r="K8" s="7" t="n"/>
      <c r="L8" s="7" t="n"/>
    </row>
    <row r="9" ht="14.25" customHeight="1" s="314">
      <c r="A9" s="1" t="inlineStr">
        <is>
          <t>Lote</t>
        </is>
      </c>
      <c r="B9" s="1" t="inlineStr">
        <is>
          <t>Beneficiados</t>
        </is>
      </c>
      <c r="C9" s="1" t="inlineStr">
        <is>
          <t>Beneficiado el</t>
        </is>
      </c>
      <c r="D9" s="1" t="inlineStr">
        <is>
          <t>RCC (%)</t>
        </is>
      </c>
      <c r="E9" s="1" t="inlineStr">
        <is>
          <t>RCR (%)</t>
        </is>
      </c>
      <c r="F9" s="1" t="inlineStr">
        <is>
          <t>PCC (kg)</t>
        </is>
      </c>
      <c r="G9" s="1" t="inlineStr">
        <is>
          <t>PCR (kg)</t>
        </is>
      </c>
      <c r="H9" s="1" t="inlineStr">
        <is>
          <t>ML (m.m)</t>
        </is>
      </c>
      <c r="I9" s="1" t="inlineStr">
        <is>
          <t>MC (kg)</t>
        </is>
      </c>
      <c r="J9" s="1" t="inlineStr">
        <is>
          <t>GD (m.m)</t>
        </is>
      </c>
      <c r="K9" s="1" t="inlineStr">
        <is>
          <t>Cliente planta</t>
        </is>
      </c>
      <c r="L9" s="1" t="inlineStr">
        <is>
          <t>Cliente factura</t>
        </is>
      </c>
    </row>
    <row r="10" ht="14.25" customHeight="1" s="314">
      <c r="A10" s="3" t="inlineStr">
        <is>
          <t>250627-6566</t>
        </is>
      </c>
      <c r="B10" s="5" t="n">
        <v>40</v>
      </c>
      <c r="C10" s="4" t="inlineStr">
        <is>
          <t>2025-06-28 00:46:43</t>
        </is>
      </c>
      <c r="D10" s="5" t="n">
        <v>83.47</v>
      </c>
      <c r="E10" s="5" t="n">
        <v>80.09999999999999</v>
      </c>
      <c r="F10" s="5" t="n">
        <v>95.29000000000001</v>
      </c>
      <c r="G10" s="5" t="n">
        <v>91.59999999999999</v>
      </c>
      <c r="H10" s="5" t="n">
        <v>72.56</v>
      </c>
      <c r="I10" s="5" t="n">
        <v>52.92</v>
      </c>
      <c r="J10" s="5" t="n">
        <v>15.75</v>
      </c>
      <c r="K10" s="3" t="inlineStr">
        <is>
          <t>IVAN ECHEVERRI PALACIO</t>
        </is>
      </c>
      <c r="L10" s="3" t="inlineStr">
        <is>
          <t>INVERSIONES SOGA SA</t>
        </is>
      </c>
      <c r="M10" s="3" t="inlineStr">
        <is>
          <t>LA CIRCASIA</t>
        </is>
      </c>
    </row>
    <row r="11" ht="14.25" customHeight="1" s="314">
      <c r="A11" s="3" t="n"/>
      <c r="B11" s="5" t="n"/>
      <c r="C11" s="4" t="n"/>
      <c r="D11" s="5" t="n"/>
      <c r="E11" s="5" t="n"/>
      <c r="F11" s="5" t="n"/>
      <c r="G11" s="5" t="n"/>
      <c r="H11" s="5" t="n"/>
      <c r="I11" s="5" t="n"/>
      <c r="J11" s="7" t="n"/>
      <c r="K11" s="7" t="n"/>
      <c r="L11" s="7" t="n"/>
    </row>
    <row r="12" ht="14.25" customHeight="1" s="314">
      <c r="A12" s="3" t="n"/>
      <c r="B12" s="5" t="n"/>
      <c r="C12" s="4" t="n"/>
      <c r="D12" s="5" t="n"/>
      <c r="E12" s="5" t="n"/>
      <c r="F12" s="5" t="n"/>
      <c r="G12" s="5" t="n"/>
      <c r="H12" s="5" t="n"/>
      <c r="I12" s="5" t="n"/>
      <c r="J12" s="7" t="n"/>
      <c r="K12" s="7" t="n"/>
      <c r="L12" s="7" t="n"/>
    </row>
    <row r="13" ht="14.25" customHeight="1" s="314">
      <c r="A13" s="3" t="n"/>
      <c r="B13" s="5" t="n"/>
      <c r="C13" s="4" t="n"/>
      <c r="D13" s="5" t="n"/>
      <c r="E13" s="5" t="n"/>
      <c r="F13" s="5" t="n"/>
      <c r="G13" s="5" t="n"/>
      <c r="H13" s="5" t="n"/>
      <c r="I13" s="5" t="n"/>
      <c r="J13" s="7" t="n"/>
      <c r="K13" s="7" t="n"/>
      <c r="L13" s="7" t="n"/>
    </row>
    <row r="14" ht="14.25" customHeight="1" s="314">
      <c r="A14" s="3" t="n"/>
      <c r="B14" s="5" t="n"/>
      <c r="C14" s="4" t="n"/>
      <c r="D14" s="5" t="n"/>
      <c r="E14" s="5" t="n"/>
      <c r="F14" s="5" t="n"/>
      <c r="G14" s="5" t="n"/>
      <c r="H14" s="5" t="n"/>
      <c r="I14" s="5" t="n"/>
      <c r="J14" s="7" t="n"/>
      <c r="K14" s="7" t="n"/>
      <c r="L14" s="7" t="n"/>
    </row>
    <row r="15" ht="14.25" customHeight="1" s="314">
      <c r="A15" s="3" t="n"/>
      <c r="B15" s="5" t="n"/>
      <c r="C15" s="4" t="n"/>
      <c r="D15" s="5" t="n"/>
      <c r="E15" s="5" t="n"/>
      <c r="F15" s="5" t="n"/>
      <c r="G15" s="5" t="n"/>
      <c r="H15" s="5" t="n"/>
      <c r="I15" s="5" t="n"/>
      <c r="J15" s="7" t="n"/>
      <c r="K15" s="7" t="n"/>
      <c r="L15" s="7" t="n"/>
    </row>
    <row r="16" ht="14.25" customHeight="1" s="314">
      <c r="A16" s="3" t="n"/>
      <c r="B16" s="5" t="n"/>
      <c r="C16" s="4" t="n"/>
      <c r="D16" s="5" t="n"/>
      <c r="E16" s="5" t="n"/>
      <c r="F16" s="5" t="n"/>
      <c r="G16" s="5" t="n"/>
      <c r="H16" s="5" t="n"/>
      <c r="I16" s="5" t="n"/>
      <c r="J16" s="7" t="n"/>
      <c r="K16" s="7" t="n"/>
      <c r="L16" s="7" t="n"/>
    </row>
    <row r="17" ht="14.25" customHeight="1" s="314">
      <c r="A17" s="1" t="inlineStr">
        <is>
          <t>Lote</t>
        </is>
      </c>
      <c r="B17" s="1" t="inlineStr">
        <is>
          <t>Despacho inicio</t>
        </is>
      </c>
      <c r="C17" s="1" t="inlineStr">
        <is>
          <t>Despacho final</t>
        </is>
      </c>
      <c r="D17" s="1" t="inlineStr">
        <is>
          <t>Total de canales (cargadas)</t>
        </is>
      </c>
      <c r="E17" s="1" t="inlineStr">
        <is>
          <t>Total de visceras (cargadas)</t>
        </is>
      </c>
      <c r="F17" s="1" t="inlineStr">
        <is>
          <t>Destino</t>
        </is>
      </c>
    </row>
    <row r="18" ht="14.25" customHeight="1" s="314">
      <c r="A18" s="3" t="inlineStr">
        <is>
          <t>250627-6566</t>
        </is>
      </c>
      <c r="B18" s="4" t="n">
        <v>0</v>
      </c>
      <c r="C18" s="4" t="n">
        <v>0</v>
      </c>
      <c r="D18" s="5" t="n">
        <v>7</v>
      </c>
      <c r="E18" s="5" t="n">
        <v>0</v>
      </c>
      <c r="F18" s="5" t="n">
        <v>0</v>
      </c>
      <c r="G18" s="5" t="n">
        <v>0</v>
      </c>
      <c r="H18" s="3" t="inlineStr">
        <is>
          <t>PACARDYL SUPERMERCADO -MAYORISTA</t>
        </is>
      </c>
      <c r="I18" s="3" t="inlineStr">
        <is>
          <t>IVAN ECHEVERRI PALACIO</t>
        </is>
      </c>
      <c r="J18" s="3" t="inlineStr">
        <is>
          <t>INVERSIONES SOGA SA</t>
        </is>
      </c>
      <c r="K18" s="3" t="n"/>
      <c r="L18" s="3" t="n"/>
    </row>
    <row r="19" ht="14.25" customHeight="1" s="314">
      <c r="A19" s="3" t="inlineStr">
        <is>
          <t>250627-6566</t>
        </is>
      </c>
      <c r="B19" s="4" t="n">
        <v>0</v>
      </c>
      <c r="C19" s="4" t="n">
        <v>0</v>
      </c>
      <c r="D19" s="5" t="n">
        <v>3</v>
      </c>
      <c r="E19" s="5" t="n">
        <v>0</v>
      </c>
      <c r="F19" s="5" t="n">
        <v>0</v>
      </c>
      <c r="G19" s="5" t="n">
        <v>0</v>
      </c>
      <c r="H19" s="3" t="inlineStr">
        <is>
          <t>CARNES VITAL SAS</t>
        </is>
      </c>
      <c r="I19" s="3" t="inlineStr">
        <is>
          <t>IVAN ECHEVERRI PALACIO</t>
        </is>
      </c>
      <c r="J19" s="3" t="inlineStr">
        <is>
          <t>INVERSIONES SOGA SA</t>
        </is>
      </c>
    </row>
    <row r="20" ht="14.25" customHeight="1" s="314">
      <c r="A20" s="3" t="inlineStr">
        <is>
          <t>250627-6566</t>
        </is>
      </c>
      <c r="B20" s="4" t="n">
        <v>0</v>
      </c>
      <c r="C20" s="4" t="n">
        <v>0</v>
      </c>
      <c r="D20" s="5" t="n">
        <v>20</v>
      </c>
      <c r="E20" s="5" t="n">
        <v>0</v>
      </c>
      <c r="F20" s="5" t="n">
        <v>0</v>
      </c>
      <c r="G20" s="5" t="n">
        <v>0</v>
      </c>
      <c r="H20" s="3" t="inlineStr">
        <is>
          <t>CARNES JP (PEDRO MONTOYA)</t>
        </is>
      </c>
      <c r="I20" s="3" t="inlineStr">
        <is>
          <t>IVAN ECHEVERRI PALACIO</t>
        </is>
      </c>
      <c r="J20" s="3" t="inlineStr">
        <is>
          <t>INVERSIONES SOGA SA</t>
        </is>
      </c>
    </row>
    <row r="21" ht="14.25" customHeight="1" s="314">
      <c r="A21" s="3" t="inlineStr">
        <is>
          <t>250627-6566</t>
        </is>
      </c>
      <c r="B21" s="4" t="n">
        <v>0</v>
      </c>
      <c r="C21" s="4" t="n">
        <v>0</v>
      </c>
      <c r="D21" s="5" t="n">
        <v>8</v>
      </c>
      <c r="E21" s="5" t="n">
        <v>0</v>
      </c>
      <c r="F21" s="5" t="n">
        <v>0</v>
      </c>
      <c r="G21" s="5" t="n">
        <v>0</v>
      </c>
      <c r="H21" s="3" t="inlineStr">
        <is>
          <t>CARNES JP (PEDRO MONTOYA)</t>
        </is>
      </c>
      <c r="I21" s="3" t="inlineStr">
        <is>
          <t>IVAN ECHEVERRI PALACIO</t>
        </is>
      </c>
      <c r="J21" s="3" t="inlineStr">
        <is>
          <t>INVERSIONES SOGA SA</t>
        </is>
      </c>
    </row>
    <row r="22" ht="14.25" customHeight="1" s="314">
      <c r="A22" s="3" t="inlineStr">
        <is>
          <t>250627-6566</t>
        </is>
      </c>
      <c r="B22" s="4" t="n">
        <v>0</v>
      </c>
      <c r="C22" s="4" t="n">
        <v>0</v>
      </c>
      <c r="D22" s="5" t="n">
        <v>2</v>
      </c>
      <c r="E22" s="5" t="n">
        <v>0</v>
      </c>
      <c r="F22" s="5" t="n">
        <v>0</v>
      </c>
      <c r="G22" s="5" t="n">
        <v>0</v>
      </c>
      <c r="H22" s="8" t="inlineStr">
        <is>
          <t>CARNES COSTA AZUL</t>
        </is>
      </c>
      <c r="I22" s="3" t="inlineStr">
        <is>
          <t>IVAN ECHEVERRI PALACIO</t>
        </is>
      </c>
      <c r="J22" s="8" t="inlineStr">
        <is>
          <t>INVERSIONES SOGA SA</t>
        </is>
      </c>
    </row>
    <row r="23" ht="14.25" customHeight="1" s="314">
      <c r="A23" s="3" t="n"/>
      <c r="B23" s="4" t="n"/>
      <c r="C23" s="4" t="n"/>
      <c r="D23" s="5" t="n"/>
      <c r="E23" s="5" t="n"/>
      <c r="F23" s="5" t="n"/>
      <c r="G23" s="5" t="n"/>
      <c r="I23" s="3" t="n"/>
    </row>
    <row r="24" ht="14.25" customHeight="1" s="314"/>
    <row r="25" ht="14.25" customHeight="1" s="314"/>
    <row r="26" ht="14.25" customHeight="1" s="314"/>
    <row r="27" ht="14.25" customHeight="1" s="314"/>
    <row r="28" ht="14.25" customHeight="1" s="314"/>
    <row r="29" ht="14.25" customHeight="1" s="314"/>
    <row r="30" ht="14.25" customHeight="1" s="314"/>
    <row r="31" ht="14.25" customHeight="1" s="314"/>
    <row r="32" ht="14.25" customHeight="1" s="314"/>
    <row r="33" ht="14.25" customHeight="1" s="314"/>
    <row r="34" ht="14.25" customHeight="1" s="314"/>
    <row r="35" ht="14.25" customHeight="1" s="314"/>
    <row r="36" ht="14.25" customHeight="1" s="314"/>
    <row r="37" ht="14.25" customHeight="1" s="314"/>
    <row r="38" ht="14.25" customHeight="1" s="314"/>
    <row r="39" ht="14.25" customHeight="1" s="314"/>
    <row r="40" ht="14.25" customHeight="1" s="314"/>
    <row r="41" ht="14.25" customHeight="1" s="314"/>
    <row r="42" ht="14.25" customHeight="1" s="314"/>
    <row r="43" ht="14.25" customHeight="1" s="314"/>
    <row r="44" ht="14.25" customHeight="1" s="314"/>
    <row r="45" ht="14.25" customHeight="1" s="314"/>
    <row r="46" ht="14.25" customHeight="1" s="314"/>
    <row r="47" ht="14.25" customHeight="1" s="314"/>
    <row r="48" ht="14.25" customHeight="1" s="314"/>
    <row r="49" ht="14.25" customHeight="1" s="314"/>
    <row r="50" ht="14.25" customHeight="1" s="314"/>
    <row r="51" ht="14.25" customHeight="1" s="314"/>
    <row r="52" ht="14.25" customHeight="1" s="314"/>
    <row r="53" ht="14.25" customHeight="1" s="314"/>
    <row r="54" ht="14.25" customHeight="1" s="314"/>
    <row r="55" ht="14.25" customHeight="1" s="314"/>
    <row r="56" ht="14.25" customHeight="1" s="314"/>
    <row r="57" ht="14.25" customHeight="1" s="314"/>
    <row r="58" ht="14.25" customHeight="1" s="314"/>
    <row r="59" ht="14.25" customHeight="1" s="314"/>
    <row r="60" ht="14.25" customHeight="1" s="314"/>
    <row r="61" ht="14.25" customHeight="1" s="314"/>
    <row r="62" ht="14.25" customHeight="1" s="314"/>
    <row r="63" ht="14.25" customHeight="1" s="314"/>
    <row r="64" ht="14.25" customHeight="1" s="314"/>
    <row r="65" ht="14.25" customHeight="1" s="314"/>
    <row r="66" ht="14.25" customHeight="1" s="314"/>
    <row r="67" ht="14.25" customHeight="1" s="314"/>
    <row r="68" ht="14.25" customHeight="1" s="314"/>
    <row r="69" ht="14.25" customHeight="1" s="314"/>
    <row r="70" ht="14.25" customHeight="1" s="314"/>
    <row r="71" ht="14.25" customHeight="1" s="314"/>
    <row r="72" ht="14.25" customHeight="1" s="314"/>
    <row r="73" ht="14.25" customHeight="1" s="314"/>
    <row r="74" ht="14.25" customHeight="1" s="314"/>
    <row r="75" ht="14.25" customHeight="1" s="314"/>
    <row r="76" ht="14.25" customHeight="1" s="314"/>
    <row r="77" ht="14.25" customHeight="1" s="314"/>
    <row r="78" ht="14.25" customHeight="1" s="314"/>
    <row r="79" ht="14.25" customHeight="1" s="314"/>
    <row r="80" ht="14.25" customHeight="1" s="314"/>
    <row r="81" ht="14.25" customHeight="1" s="314"/>
    <row r="82" ht="14.25" customHeight="1" s="314"/>
    <row r="83" ht="14.25" customHeight="1" s="314"/>
    <row r="84" ht="14.25" customHeight="1" s="314"/>
    <row r="85" ht="14.25" customHeight="1" s="314"/>
    <row r="86" ht="14.25" customHeight="1" s="314"/>
    <row r="87" ht="14.25" customHeight="1" s="314"/>
    <row r="88" ht="14.25" customHeight="1" s="314"/>
    <row r="89" ht="14.25" customHeight="1" s="314"/>
    <row r="90" ht="14.25" customHeight="1" s="314"/>
    <row r="91" ht="14.25" customHeight="1" s="314"/>
    <row r="92" ht="14.25" customHeight="1" s="314"/>
    <row r="93" ht="14.25" customHeight="1" s="314"/>
    <row r="94" ht="14.25" customHeight="1" s="314"/>
    <row r="95" ht="14.25" customHeight="1" s="314"/>
    <row r="96" ht="14.25" customHeight="1" s="314"/>
    <row r="97" ht="14.25" customHeight="1" s="314"/>
    <row r="98" ht="14.25" customHeight="1" s="314"/>
    <row r="99" ht="14.25" customHeight="1" s="314"/>
    <row r="100" ht="14.25" customHeight="1" s="314"/>
    <row r="101" ht="14.25" customHeight="1" s="314"/>
    <row r="102" ht="14.25" customHeight="1" s="314"/>
    <row r="103" ht="14.25" customHeight="1" s="314"/>
    <row r="104" ht="14.25" customHeight="1" s="314"/>
    <row r="105" ht="14.25" customHeight="1" s="314"/>
    <row r="106" ht="14.25" customHeight="1" s="314"/>
    <row r="107" ht="14.25" customHeight="1" s="314"/>
    <row r="108" ht="14.25" customHeight="1" s="314"/>
    <row r="109" ht="14.25" customHeight="1" s="314"/>
    <row r="110" ht="14.25" customHeight="1" s="314"/>
    <row r="111" ht="14.25" customHeight="1" s="314"/>
    <row r="112" ht="14.25" customHeight="1" s="314"/>
    <row r="113" ht="14.25" customHeight="1" s="314"/>
    <row r="114" ht="14.25" customHeight="1" s="314"/>
    <row r="115" ht="14.25" customHeight="1" s="314"/>
    <row r="116" ht="14.25" customHeight="1" s="314"/>
    <row r="117" ht="14.25" customHeight="1" s="314"/>
    <row r="118" ht="14.25" customHeight="1" s="314"/>
    <row r="119" ht="14.25" customHeight="1" s="314"/>
    <row r="120" ht="14.25" customHeight="1" s="314"/>
    <row r="121" ht="14.25" customHeight="1" s="314"/>
    <row r="122" ht="14.25" customHeight="1" s="314"/>
    <row r="123" ht="14.25" customHeight="1" s="314"/>
    <row r="124" ht="14.25" customHeight="1" s="314"/>
    <row r="125" ht="14.25" customHeight="1" s="314"/>
    <row r="126" ht="14.25" customHeight="1" s="314"/>
    <row r="127" ht="14.25" customHeight="1" s="314"/>
    <row r="128" ht="14.25" customHeight="1" s="314"/>
    <row r="129" ht="14.25" customHeight="1" s="314"/>
    <row r="130" ht="14.25" customHeight="1" s="314"/>
    <row r="131" ht="14.25" customHeight="1" s="314"/>
    <row r="132" ht="14.25" customHeight="1" s="314"/>
    <row r="133" ht="14.25" customHeight="1" s="314"/>
    <row r="134" ht="14.25" customHeight="1" s="314"/>
    <row r="135" ht="14.25" customHeight="1" s="314"/>
    <row r="136" ht="14.25" customHeight="1" s="314"/>
    <row r="137" ht="14.25" customHeight="1" s="314"/>
    <row r="138" ht="14.25" customHeight="1" s="314"/>
    <row r="139" ht="14.25" customHeight="1" s="314"/>
    <row r="140" ht="14.25" customHeight="1" s="314"/>
    <row r="141" ht="14.25" customHeight="1" s="314"/>
    <row r="142" ht="14.25" customHeight="1" s="314"/>
    <row r="143" ht="14.25" customHeight="1" s="314"/>
    <row r="144" ht="14.25" customHeight="1" s="314"/>
    <row r="145" ht="14.25" customHeight="1" s="314"/>
    <row r="146" ht="14.25" customHeight="1" s="314"/>
    <row r="147" ht="14.25" customHeight="1" s="314"/>
    <row r="148" ht="14.25" customHeight="1" s="314"/>
    <row r="149" ht="14.25" customHeight="1" s="314"/>
    <row r="150" ht="14.25" customHeight="1" s="314"/>
    <row r="151" ht="14.25" customHeight="1" s="314"/>
    <row r="152" ht="14.25" customHeight="1" s="314"/>
    <row r="153" ht="14.25" customHeight="1" s="314"/>
    <row r="154" ht="14.25" customHeight="1" s="314"/>
    <row r="155" ht="14.25" customHeight="1" s="314"/>
    <row r="156" ht="14.25" customHeight="1" s="314"/>
    <row r="157" ht="14.25" customHeight="1" s="314"/>
    <row r="158" ht="14.25" customHeight="1" s="314"/>
    <row r="159" ht="14.25" customHeight="1" s="314"/>
    <row r="160" ht="14.25" customHeight="1" s="314"/>
    <row r="161" ht="14.25" customHeight="1" s="314"/>
    <row r="162" ht="14.25" customHeight="1" s="314"/>
    <row r="163" ht="14.25" customHeight="1" s="314"/>
    <row r="164" ht="14.25" customHeight="1" s="314"/>
    <row r="165" ht="14.25" customHeight="1" s="314"/>
    <row r="166" ht="14.25" customHeight="1" s="314"/>
    <row r="167" ht="14.25" customHeight="1" s="314"/>
    <row r="168" ht="14.25" customHeight="1" s="314"/>
    <row r="169" ht="14.25" customHeight="1" s="314"/>
    <row r="170" ht="14.25" customHeight="1" s="314"/>
    <row r="171" ht="14.25" customHeight="1" s="314"/>
    <row r="172" ht="14.25" customHeight="1" s="314"/>
    <row r="173" ht="14.25" customHeight="1" s="314"/>
    <row r="174" ht="14.25" customHeight="1" s="314"/>
    <row r="175" ht="14.25" customHeight="1" s="314"/>
    <row r="176" ht="14.25" customHeight="1" s="314"/>
    <row r="177" ht="14.25" customHeight="1" s="314"/>
    <row r="178" ht="14.25" customHeight="1" s="314"/>
    <row r="179" ht="14.25" customHeight="1" s="314"/>
    <row r="180" ht="14.25" customHeight="1" s="314"/>
    <row r="181" ht="14.25" customHeight="1" s="314"/>
    <row r="182" ht="14.25" customHeight="1" s="314"/>
    <row r="183" ht="14.25" customHeight="1" s="314"/>
    <row r="184" ht="14.25" customHeight="1" s="314"/>
    <row r="185" ht="14.25" customHeight="1" s="314"/>
    <row r="186" ht="14.25" customHeight="1" s="314"/>
    <row r="187" ht="14.25" customHeight="1" s="314"/>
    <row r="188" ht="14.25" customHeight="1" s="314"/>
    <row r="189" ht="14.25" customHeight="1" s="314"/>
    <row r="190" ht="14.25" customHeight="1" s="314"/>
    <row r="191" ht="14.25" customHeight="1" s="314"/>
    <row r="192" ht="14.25" customHeight="1" s="314"/>
    <row r="193" ht="14.25" customHeight="1" s="314"/>
    <row r="194" ht="14.25" customHeight="1" s="314"/>
    <row r="195" ht="14.25" customHeight="1" s="314"/>
    <row r="196" ht="14.25" customHeight="1" s="314"/>
    <row r="197" ht="14.25" customHeight="1" s="314"/>
    <row r="198" ht="14.25" customHeight="1" s="314"/>
    <row r="199" ht="14.25" customHeight="1" s="314"/>
    <row r="200" ht="14.25" customHeight="1" s="314"/>
    <row r="201" ht="14.25" customHeight="1" s="314"/>
    <row r="202" ht="14.25" customHeight="1" s="314"/>
    <row r="203" ht="14.25" customHeight="1" s="314"/>
    <row r="204" ht="14.25" customHeight="1" s="314"/>
    <row r="205" ht="14.25" customHeight="1" s="314"/>
    <row r="206" ht="14.25" customHeight="1" s="314"/>
    <row r="207" ht="14.25" customHeight="1" s="314"/>
    <row r="208" ht="14.25" customHeight="1" s="314"/>
    <row r="209" ht="14.25" customHeight="1" s="314"/>
    <row r="210" ht="14.25" customHeight="1" s="314"/>
    <row r="211" ht="14.25" customHeight="1" s="314"/>
    <row r="212" ht="14.25" customHeight="1" s="314"/>
    <row r="213" ht="14.25" customHeight="1" s="314"/>
    <row r="214" ht="14.25" customHeight="1" s="314"/>
    <row r="215" ht="14.25" customHeight="1" s="314"/>
    <row r="216" ht="14.25" customHeight="1" s="314"/>
    <row r="217" ht="14.25" customHeight="1" s="314"/>
    <row r="218" ht="14.25" customHeight="1" s="314"/>
    <row r="219" ht="14.25" customHeight="1" s="314"/>
    <row r="220" ht="14.25" customHeight="1" s="314"/>
    <row r="221" ht="14.25" customHeight="1" s="314"/>
    <row r="222" ht="14.25" customHeight="1" s="314"/>
    <row r="223" ht="14.25" customHeight="1" s="314"/>
    <row r="224" ht="14.25" customHeight="1" s="314"/>
    <row r="225" ht="14.25" customHeight="1" s="314"/>
    <row r="226" ht="14.25" customHeight="1" s="314"/>
    <row r="227" ht="14.25" customHeight="1" s="314"/>
    <row r="228" ht="14.25" customHeight="1" s="314"/>
    <row r="229" ht="14.25" customHeight="1" s="314"/>
    <row r="230" ht="14.25" customHeight="1" s="314"/>
    <row r="231" ht="14.25" customHeight="1" s="314"/>
    <row r="232" ht="14.25" customHeight="1" s="314"/>
    <row r="233" ht="14.25" customHeight="1" s="314"/>
    <row r="234" ht="14.25" customHeight="1" s="314"/>
    <row r="235" ht="14.25" customHeight="1" s="314"/>
    <row r="236" ht="14.25" customHeight="1" s="314"/>
    <row r="237" ht="14.25" customHeight="1" s="314"/>
    <row r="238" ht="14.25" customHeight="1" s="314"/>
    <row r="239" ht="14.25" customHeight="1" s="314"/>
    <row r="240" ht="14.25" customHeight="1" s="314"/>
    <row r="241" ht="14.25" customHeight="1" s="314"/>
    <row r="242" ht="14.25" customHeight="1" s="314"/>
    <row r="243" ht="14.25" customHeight="1" s="314"/>
    <row r="244" ht="14.25" customHeight="1" s="314"/>
    <row r="245" ht="14.25" customHeight="1" s="314"/>
    <row r="246" ht="14.25" customHeight="1" s="314"/>
    <row r="247" ht="14.25" customHeight="1" s="314"/>
    <row r="248" ht="14.25" customHeight="1" s="314"/>
    <row r="249" ht="14.25" customHeight="1" s="314"/>
    <row r="250" ht="14.25" customHeight="1" s="314"/>
    <row r="251" ht="14.25" customHeight="1" s="314"/>
    <row r="252" ht="14.25" customHeight="1" s="314"/>
    <row r="253" ht="14.25" customHeight="1" s="314"/>
    <row r="254" ht="14.25" customHeight="1" s="314"/>
    <row r="255" ht="14.25" customHeight="1" s="314"/>
    <row r="256" ht="14.25" customHeight="1" s="314"/>
    <row r="257" ht="14.25" customHeight="1" s="314"/>
    <row r="258" ht="14.25" customHeight="1" s="314"/>
    <row r="259" ht="14.25" customHeight="1" s="314"/>
    <row r="260" ht="14.25" customHeight="1" s="314"/>
    <row r="261" ht="14.25" customHeight="1" s="314"/>
    <row r="262" ht="14.25" customHeight="1" s="314"/>
    <row r="263" ht="14.25" customHeight="1" s="314"/>
    <row r="264" ht="14.25" customHeight="1" s="314"/>
    <row r="265" ht="14.25" customHeight="1" s="314"/>
    <row r="266" ht="14.25" customHeight="1" s="314"/>
    <row r="267" ht="14.25" customHeight="1" s="314"/>
    <row r="268" ht="14.25" customHeight="1" s="314"/>
    <row r="269" ht="14.25" customHeight="1" s="314"/>
    <row r="270" ht="14.25" customHeight="1" s="314"/>
    <row r="271" ht="14.25" customHeight="1" s="314"/>
    <row r="272" ht="14.25" customHeight="1" s="314"/>
    <row r="273" ht="14.25" customHeight="1" s="314"/>
    <row r="274" ht="14.25" customHeight="1" s="314"/>
    <row r="275" ht="14.25" customHeight="1" s="314"/>
    <row r="276" ht="14.25" customHeight="1" s="314"/>
    <row r="277" ht="14.25" customHeight="1" s="314"/>
    <row r="278" ht="14.25" customHeight="1" s="314"/>
    <row r="279" ht="14.25" customHeight="1" s="314"/>
    <row r="280" ht="14.25" customHeight="1" s="314"/>
    <row r="281" ht="14.25" customHeight="1" s="314"/>
    <row r="282" ht="14.25" customHeight="1" s="314"/>
    <row r="283" ht="14.25" customHeight="1" s="314"/>
    <row r="284" ht="14.25" customHeight="1" s="314"/>
    <row r="285" ht="14.25" customHeight="1" s="314"/>
    <row r="286" ht="14.25" customHeight="1" s="314"/>
    <row r="287" ht="14.25" customHeight="1" s="314"/>
    <row r="288" ht="14.25" customHeight="1" s="314"/>
    <row r="289" ht="14.25" customHeight="1" s="314"/>
    <row r="290" ht="14.25" customHeight="1" s="314"/>
    <row r="291" ht="14.25" customHeight="1" s="314"/>
    <row r="292" ht="14.25" customHeight="1" s="314"/>
    <row r="293" ht="14.25" customHeight="1" s="314"/>
    <row r="294" ht="14.25" customHeight="1" s="314"/>
    <row r="295" ht="14.25" customHeight="1" s="314"/>
    <row r="296" ht="14.25" customHeight="1" s="314"/>
    <row r="297" ht="14.25" customHeight="1" s="314"/>
    <row r="298" ht="14.25" customHeight="1" s="314"/>
    <row r="299" ht="14.25" customHeight="1" s="314"/>
    <row r="300" ht="14.25" customHeight="1" s="314"/>
    <row r="301" ht="14.25" customHeight="1" s="314"/>
    <row r="302" ht="14.25" customHeight="1" s="314"/>
    <row r="303" ht="14.25" customHeight="1" s="314"/>
    <row r="304" ht="14.25" customHeight="1" s="314"/>
    <row r="305" ht="14.25" customHeight="1" s="314"/>
    <row r="306" ht="14.25" customHeight="1" s="314"/>
    <row r="307" ht="14.25" customHeight="1" s="314"/>
    <row r="308" ht="14.25" customHeight="1" s="314"/>
    <row r="309" ht="14.25" customHeight="1" s="314"/>
    <row r="310" ht="14.25" customHeight="1" s="314"/>
    <row r="311" ht="14.25" customHeight="1" s="314"/>
    <row r="312" ht="14.25" customHeight="1" s="314"/>
    <row r="313" ht="14.25" customHeight="1" s="314"/>
    <row r="314" ht="14.25" customHeight="1" s="314"/>
    <row r="315" ht="14.25" customHeight="1" s="314"/>
    <row r="316" ht="14.25" customHeight="1" s="314"/>
    <row r="317" ht="14.25" customHeight="1" s="314"/>
    <row r="318" ht="14.25" customHeight="1" s="314"/>
    <row r="319" ht="14.25" customHeight="1" s="314"/>
    <row r="320" ht="14.25" customHeight="1" s="314"/>
    <row r="321" ht="14.25" customHeight="1" s="314"/>
    <row r="322" ht="14.25" customHeight="1" s="314"/>
    <row r="323" ht="14.25" customHeight="1" s="314"/>
    <row r="324" ht="14.25" customHeight="1" s="314"/>
    <row r="325" ht="14.25" customHeight="1" s="314"/>
    <row r="326" ht="14.25" customHeight="1" s="314"/>
    <row r="327" ht="14.25" customHeight="1" s="314"/>
    <row r="328" ht="14.25" customHeight="1" s="314"/>
    <row r="329" ht="14.25" customHeight="1" s="314"/>
    <row r="330" ht="14.25" customHeight="1" s="314"/>
    <row r="331" ht="14.25" customHeight="1" s="314"/>
    <row r="332" ht="14.25" customHeight="1" s="314"/>
    <row r="333" ht="14.25" customHeight="1" s="314"/>
    <row r="334" ht="14.25" customHeight="1" s="314"/>
    <row r="335" ht="14.25" customHeight="1" s="314"/>
    <row r="336" ht="14.25" customHeight="1" s="314"/>
    <row r="337" ht="14.25" customHeight="1" s="314"/>
    <row r="338" ht="14.25" customHeight="1" s="314"/>
    <row r="339" ht="14.25" customHeight="1" s="314"/>
    <row r="340" ht="14.25" customHeight="1" s="314"/>
    <row r="341" ht="14.25" customHeight="1" s="314"/>
    <row r="342" ht="14.25" customHeight="1" s="314"/>
    <row r="343" ht="14.25" customHeight="1" s="314"/>
    <row r="344" ht="14.25" customHeight="1" s="314"/>
    <row r="345" ht="14.25" customHeight="1" s="314"/>
    <row r="346" ht="14.25" customHeight="1" s="314"/>
    <row r="347" ht="14.25" customHeight="1" s="314"/>
    <row r="348" ht="14.25" customHeight="1" s="314"/>
    <row r="349" ht="14.25" customHeight="1" s="314"/>
    <row r="350" ht="14.25" customHeight="1" s="314"/>
    <row r="351" ht="14.25" customHeight="1" s="314"/>
    <row r="352" ht="14.25" customHeight="1" s="314"/>
    <row r="353" ht="14.25" customHeight="1" s="314"/>
    <row r="354" ht="14.25" customHeight="1" s="314"/>
    <row r="355" ht="14.25" customHeight="1" s="314"/>
    <row r="356" ht="14.25" customHeight="1" s="314"/>
    <row r="357" ht="14.25" customHeight="1" s="314"/>
    <row r="358" ht="14.25" customHeight="1" s="314"/>
    <row r="359" ht="14.25" customHeight="1" s="314"/>
    <row r="360" ht="14.25" customHeight="1" s="314"/>
    <row r="361" ht="14.25" customHeight="1" s="314"/>
    <row r="362" ht="14.25" customHeight="1" s="314"/>
    <row r="363" ht="14.25" customHeight="1" s="314"/>
    <row r="364" ht="14.25" customHeight="1" s="314"/>
    <row r="365" ht="14.25" customHeight="1" s="314"/>
    <row r="366" ht="14.25" customHeight="1" s="314"/>
    <row r="367" ht="14.25" customHeight="1" s="314"/>
    <row r="368" ht="14.25" customHeight="1" s="314"/>
    <row r="369" ht="14.25" customHeight="1" s="314"/>
    <row r="370" ht="14.25" customHeight="1" s="314"/>
    <row r="371" ht="14.25" customHeight="1" s="314"/>
    <row r="372" ht="14.25" customHeight="1" s="314"/>
    <row r="373" ht="14.25" customHeight="1" s="314"/>
    <row r="374" ht="14.25" customHeight="1" s="314"/>
    <row r="375" ht="14.25" customHeight="1" s="314"/>
    <row r="376" ht="14.25" customHeight="1" s="314"/>
    <row r="377" ht="14.25" customHeight="1" s="314"/>
    <row r="378" ht="14.25" customHeight="1" s="314"/>
    <row r="379" ht="14.25" customHeight="1" s="314"/>
    <row r="380" ht="14.25" customHeight="1" s="314"/>
    <row r="381" ht="14.25" customHeight="1" s="314"/>
    <row r="382" ht="14.25" customHeight="1" s="314"/>
    <row r="383" ht="14.25" customHeight="1" s="314"/>
    <row r="384" ht="14.25" customHeight="1" s="314"/>
    <row r="385" ht="14.25" customHeight="1" s="314"/>
    <row r="386" ht="14.25" customHeight="1" s="314"/>
    <row r="387" ht="14.25" customHeight="1" s="314"/>
    <row r="388" ht="14.25" customHeight="1" s="314"/>
    <row r="389" ht="14.25" customHeight="1" s="314"/>
    <row r="390" ht="14.25" customHeight="1" s="314"/>
    <row r="391" ht="14.25" customHeight="1" s="314"/>
    <row r="392" ht="14.25" customHeight="1" s="314"/>
    <row r="393" ht="14.25" customHeight="1" s="314"/>
    <row r="394" ht="14.25" customHeight="1" s="314"/>
    <row r="395" ht="14.25" customHeight="1" s="314"/>
    <row r="396" ht="14.25" customHeight="1" s="314"/>
    <row r="397" ht="14.25" customHeight="1" s="314"/>
    <row r="398" ht="14.25" customHeight="1" s="314"/>
    <row r="399" ht="14.25" customHeight="1" s="314"/>
    <row r="400" ht="14.25" customHeight="1" s="314"/>
    <row r="401" ht="14.25" customHeight="1" s="314"/>
    <row r="402" ht="14.25" customHeight="1" s="314"/>
    <row r="403" ht="14.25" customHeight="1" s="314"/>
    <row r="404" ht="14.25" customHeight="1" s="314"/>
    <row r="405" ht="14.25" customHeight="1" s="314"/>
    <row r="406" ht="14.25" customHeight="1" s="314"/>
    <row r="407" ht="14.25" customHeight="1" s="314"/>
    <row r="408" ht="14.25" customHeight="1" s="314"/>
    <row r="409" ht="14.25" customHeight="1" s="314"/>
    <row r="410" ht="14.25" customHeight="1" s="314"/>
    <row r="411" ht="14.25" customHeight="1" s="314"/>
    <row r="412" ht="14.25" customHeight="1" s="314"/>
    <row r="413" ht="14.25" customHeight="1" s="314"/>
    <row r="414" ht="14.25" customHeight="1" s="314"/>
    <row r="415" ht="14.25" customHeight="1" s="314"/>
    <row r="416" ht="14.25" customHeight="1" s="314"/>
    <row r="417" ht="14.25" customHeight="1" s="314"/>
    <row r="418" ht="14.25" customHeight="1" s="314"/>
    <row r="419" ht="14.25" customHeight="1" s="314"/>
    <row r="420" ht="14.25" customHeight="1" s="314"/>
    <row r="421" ht="14.25" customHeight="1" s="314"/>
    <row r="422" ht="14.25" customHeight="1" s="314"/>
    <row r="423" ht="14.25" customHeight="1" s="314"/>
    <row r="424" ht="14.25" customHeight="1" s="314"/>
    <row r="425" ht="14.25" customHeight="1" s="314"/>
    <row r="426" ht="14.25" customHeight="1" s="314"/>
    <row r="427" ht="14.25" customHeight="1" s="314"/>
    <row r="428" ht="14.25" customHeight="1" s="314"/>
    <row r="429" ht="14.25" customHeight="1" s="314"/>
    <row r="430" ht="14.25" customHeight="1" s="314"/>
    <row r="431" ht="14.25" customHeight="1" s="314"/>
    <row r="432" ht="14.25" customHeight="1" s="314"/>
    <row r="433" ht="14.25" customHeight="1" s="314"/>
    <row r="434" ht="14.25" customHeight="1" s="314"/>
    <row r="435" ht="14.25" customHeight="1" s="314"/>
    <row r="436" ht="14.25" customHeight="1" s="314"/>
    <row r="437" ht="14.25" customHeight="1" s="314"/>
    <row r="438" ht="14.25" customHeight="1" s="314"/>
    <row r="439" ht="14.25" customHeight="1" s="314"/>
    <row r="440" ht="14.25" customHeight="1" s="314"/>
    <row r="441" ht="14.25" customHeight="1" s="314"/>
    <row r="442" ht="14.25" customHeight="1" s="314"/>
    <row r="443" ht="14.25" customHeight="1" s="314"/>
    <row r="444" ht="14.25" customHeight="1" s="314"/>
    <row r="445" ht="14.25" customHeight="1" s="314"/>
    <row r="446" ht="14.25" customHeight="1" s="314"/>
    <row r="447" ht="14.25" customHeight="1" s="314"/>
    <row r="448" ht="14.25" customHeight="1" s="314"/>
    <row r="449" ht="14.25" customHeight="1" s="314"/>
    <row r="450" ht="14.25" customHeight="1" s="314"/>
    <row r="451" ht="14.25" customHeight="1" s="314"/>
    <row r="452" ht="14.25" customHeight="1" s="314"/>
    <row r="453" ht="14.25" customHeight="1" s="314"/>
    <row r="454" ht="14.25" customHeight="1" s="314"/>
    <row r="455" ht="14.25" customHeight="1" s="314"/>
    <row r="456" ht="14.25" customHeight="1" s="314"/>
    <row r="457" ht="14.25" customHeight="1" s="314"/>
    <row r="458" ht="14.25" customHeight="1" s="314"/>
    <row r="459" ht="14.25" customHeight="1" s="314"/>
    <row r="460" ht="14.25" customHeight="1" s="314"/>
    <row r="461" ht="14.25" customHeight="1" s="314"/>
    <row r="462" ht="14.25" customHeight="1" s="314"/>
    <row r="463" ht="14.25" customHeight="1" s="314"/>
    <row r="464" ht="14.25" customHeight="1" s="314"/>
    <row r="465" ht="14.25" customHeight="1" s="314"/>
    <row r="466" ht="14.25" customHeight="1" s="314"/>
    <row r="467" ht="14.25" customHeight="1" s="314"/>
    <row r="468" ht="14.25" customHeight="1" s="314"/>
    <row r="469" ht="14.25" customHeight="1" s="314"/>
    <row r="470" ht="14.25" customHeight="1" s="314"/>
    <row r="471" ht="14.25" customHeight="1" s="314"/>
    <row r="472" ht="14.25" customHeight="1" s="314"/>
    <row r="473" ht="14.25" customHeight="1" s="314"/>
    <row r="474" ht="14.25" customHeight="1" s="314"/>
    <row r="475" ht="14.25" customHeight="1" s="314"/>
    <row r="476" ht="14.25" customHeight="1" s="314"/>
    <row r="477" ht="14.25" customHeight="1" s="314"/>
    <row r="478" ht="14.25" customHeight="1" s="314"/>
    <row r="479" ht="14.25" customHeight="1" s="314"/>
    <row r="480" ht="14.25" customHeight="1" s="314"/>
    <row r="481" ht="14.25" customHeight="1" s="314"/>
    <row r="482" ht="14.25" customHeight="1" s="314"/>
    <row r="483" ht="14.25" customHeight="1" s="314"/>
    <row r="484" ht="14.25" customHeight="1" s="314"/>
    <row r="485" ht="14.25" customHeight="1" s="314"/>
    <row r="486" ht="14.25" customHeight="1" s="314"/>
    <row r="487" ht="14.25" customHeight="1" s="314"/>
    <row r="488" ht="14.25" customHeight="1" s="314"/>
    <row r="489" ht="14.25" customHeight="1" s="314"/>
    <row r="490" ht="14.25" customHeight="1" s="314"/>
    <row r="491" ht="14.25" customHeight="1" s="314"/>
    <row r="492" ht="14.25" customHeight="1" s="314"/>
    <row r="493" ht="14.25" customHeight="1" s="314"/>
    <row r="494" ht="14.25" customHeight="1" s="314"/>
    <row r="495" ht="14.25" customHeight="1" s="314"/>
    <row r="496" ht="14.25" customHeight="1" s="314"/>
    <row r="497" ht="14.25" customHeight="1" s="314"/>
    <row r="498" ht="14.25" customHeight="1" s="314"/>
    <row r="499" ht="14.25" customHeight="1" s="314"/>
    <row r="500" ht="14.25" customHeight="1" s="314"/>
    <row r="501" ht="14.25" customHeight="1" s="314"/>
    <row r="502" ht="14.25" customHeight="1" s="314"/>
    <row r="503" ht="14.25" customHeight="1" s="314"/>
    <row r="504" ht="14.25" customHeight="1" s="314"/>
    <row r="505" ht="14.25" customHeight="1" s="314"/>
    <row r="506" ht="14.25" customHeight="1" s="314"/>
    <row r="507" ht="14.25" customHeight="1" s="314"/>
    <row r="508" ht="14.25" customHeight="1" s="314"/>
    <row r="509" ht="14.25" customHeight="1" s="314"/>
    <row r="510" ht="14.25" customHeight="1" s="314"/>
    <row r="511" ht="14.25" customHeight="1" s="314"/>
    <row r="512" ht="14.25" customHeight="1" s="314"/>
    <row r="513" ht="14.25" customHeight="1" s="314"/>
    <row r="514" ht="14.25" customHeight="1" s="314"/>
    <row r="515" ht="14.25" customHeight="1" s="314"/>
    <row r="516" ht="14.25" customHeight="1" s="314"/>
    <row r="517" ht="14.25" customHeight="1" s="314"/>
    <row r="518" ht="14.25" customHeight="1" s="314"/>
    <row r="519" ht="14.25" customHeight="1" s="314"/>
    <row r="520" ht="14.25" customHeight="1" s="314"/>
    <row r="521" ht="14.25" customHeight="1" s="314"/>
    <row r="522" ht="14.25" customHeight="1" s="314"/>
    <row r="523" ht="14.25" customHeight="1" s="314"/>
    <row r="524" ht="14.25" customHeight="1" s="314"/>
    <row r="525" ht="14.25" customHeight="1" s="314"/>
    <row r="526" ht="14.25" customHeight="1" s="314"/>
    <row r="527" ht="14.25" customHeight="1" s="314"/>
    <row r="528" ht="14.25" customHeight="1" s="314"/>
    <row r="529" ht="14.25" customHeight="1" s="314"/>
    <row r="530" ht="14.25" customHeight="1" s="314"/>
    <row r="531" ht="14.25" customHeight="1" s="314"/>
    <row r="532" ht="14.25" customHeight="1" s="314"/>
    <row r="533" ht="14.25" customHeight="1" s="314"/>
    <row r="534" ht="14.25" customHeight="1" s="314"/>
    <row r="535" ht="14.25" customHeight="1" s="314"/>
    <row r="536" ht="14.25" customHeight="1" s="314"/>
    <row r="537" ht="14.25" customHeight="1" s="314"/>
    <row r="538" ht="14.25" customHeight="1" s="314"/>
    <row r="539" ht="14.25" customHeight="1" s="314"/>
    <row r="540" ht="14.25" customHeight="1" s="314"/>
    <row r="541" ht="14.25" customHeight="1" s="314"/>
    <row r="542" ht="14.25" customHeight="1" s="314"/>
    <row r="543" ht="14.25" customHeight="1" s="314"/>
    <row r="544" ht="14.25" customHeight="1" s="314"/>
    <row r="545" ht="14.25" customHeight="1" s="314"/>
    <row r="546" ht="14.25" customHeight="1" s="314"/>
    <row r="547" ht="14.25" customHeight="1" s="314"/>
    <row r="548" ht="14.25" customHeight="1" s="314"/>
    <row r="549" ht="14.25" customHeight="1" s="314"/>
    <row r="550" ht="14.25" customHeight="1" s="314"/>
    <row r="551" ht="14.25" customHeight="1" s="314"/>
    <row r="552" ht="14.25" customHeight="1" s="314"/>
    <row r="553" ht="14.25" customHeight="1" s="314"/>
    <row r="554" ht="14.25" customHeight="1" s="314"/>
    <row r="555" ht="14.25" customHeight="1" s="314"/>
    <row r="556" ht="14.25" customHeight="1" s="314"/>
    <row r="557" ht="14.25" customHeight="1" s="314"/>
    <row r="558" ht="14.25" customHeight="1" s="314"/>
    <row r="559" ht="14.25" customHeight="1" s="314"/>
    <row r="560" ht="14.25" customHeight="1" s="314"/>
    <row r="561" ht="14.25" customHeight="1" s="314"/>
    <row r="562" ht="14.25" customHeight="1" s="314"/>
    <row r="563" ht="14.25" customHeight="1" s="314"/>
    <row r="564" ht="14.25" customHeight="1" s="314"/>
    <row r="565" ht="14.25" customHeight="1" s="314"/>
    <row r="566" ht="14.25" customHeight="1" s="314"/>
    <row r="567" ht="14.25" customHeight="1" s="314"/>
    <row r="568" ht="14.25" customHeight="1" s="314"/>
    <row r="569" ht="14.25" customHeight="1" s="314"/>
    <row r="570" ht="14.25" customHeight="1" s="314"/>
    <row r="571" ht="14.25" customHeight="1" s="314"/>
    <row r="572" ht="14.25" customHeight="1" s="314"/>
    <row r="573" ht="14.25" customHeight="1" s="314"/>
    <row r="574" ht="14.25" customHeight="1" s="314"/>
    <row r="575" ht="14.25" customHeight="1" s="314"/>
    <row r="576" ht="14.25" customHeight="1" s="314"/>
    <row r="577" ht="14.25" customHeight="1" s="314"/>
    <row r="578" ht="14.25" customHeight="1" s="314"/>
    <row r="579" ht="14.25" customHeight="1" s="314"/>
    <row r="580" ht="14.25" customHeight="1" s="314"/>
    <row r="581" ht="14.25" customHeight="1" s="314"/>
    <row r="582" ht="14.25" customHeight="1" s="314"/>
    <row r="583" ht="14.25" customHeight="1" s="314"/>
    <row r="584" ht="14.25" customHeight="1" s="314"/>
    <row r="585" ht="14.25" customHeight="1" s="314"/>
    <row r="586" ht="14.25" customHeight="1" s="314"/>
    <row r="587" ht="14.25" customHeight="1" s="314"/>
    <row r="588" ht="14.25" customHeight="1" s="314"/>
    <row r="589" ht="14.25" customHeight="1" s="314"/>
    <row r="590" ht="14.25" customHeight="1" s="314"/>
    <row r="591" ht="14.25" customHeight="1" s="314"/>
    <row r="592" ht="14.25" customHeight="1" s="314"/>
    <row r="593" ht="14.25" customHeight="1" s="314"/>
    <row r="594" ht="14.25" customHeight="1" s="314"/>
    <row r="595" ht="14.25" customHeight="1" s="314"/>
    <row r="596" ht="14.25" customHeight="1" s="314"/>
    <row r="597" ht="14.25" customHeight="1" s="314"/>
    <row r="598" ht="14.25" customHeight="1" s="314"/>
    <row r="599" ht="14.25" customHeight="1" s="314"/>
    <row r="600" ht="14.25" customHeight="1" s="314"/>
    <row r="601" ht="14.25" customHeight="1" s="314"/>
    <row r="602" ht="14.25" customHeight="1" s="314"/>
    <row r="603" ht="14.25" customHeight="1" s="314"/>
    <row r="604" ht="14.25" customHeight="1" s="314"/>
    <row r="605" ht="14.25" customHeight="1" s="314"/>
    <row r="606" ht="14.25" customHeight="1" s="314"/>
    <row r="607" ht="14.25" customHeight="1" s="314"/>
    <row r="608" ht="14.25" customHeight="1" s="314"/>
    <row r="609" ht="14.25" customHeight="1" s="314"/>
    <row r="610" ht="14.25" customHeight="1" s="314"/>
    <row r="611" ht="14.25" customHeight="1" s="314"/>
    <row r="612" ht="14.25" customHeight="1" s="314"/>
    <row r="613" ht="14.25" customHeight="1" s="314"/>
    <row r="614" ht="14.25" customHeight="1" s="314"/>
    <row r="615" ht="14.25" customHeight="1" s="314"/>
    <row r="616" ht="14.25" customHeight="1" s="314"/>
    <row r="617" ht="14.25" customHeight="1" s="314"/>
    <row r="618" ht="14.25" customHeight="1" s="314"/>
    <row r="619" ht="14.25" customHeight="1" s="314"/>
    <row r="620" ht="14.25" customHeight="1" s="314"/>
    <row r="621" ht="14.25" customHeight="1" s="314"/>
    <row r="622" ht="14.25" customHeight="1" s="314"/>
    <row r="623" ht="14.25" customHeight="1" s="314"/>
    <row r="624" ht="14.25" customHeight="1" s="314"/>
    <row r="625" ht="14.25" customHeight="1" s="314"/>
    <row r="626" ht="14.25" customHeight="1" s="314"/>
    <row r="627" ht="14.25" customHeight="1" s="314"/>
    <row r="628" ht="14.25" customHeight="1" s="314"/>
    <row r="629" ht="14.25" customHeight="1" s="314"/>
    <row r="630" ht="14.25" customHeight="1" s="314"/>
    <row r="631" ht="14.25" customHeight="1" s="314"/>
    <row r="632" ht="14.25" customHeight="1" s="314"/>
    <row r="633" ht="14.25" customHeight="1" s="314"/>
    <row r="634" ht="14.25" customHeight="1" s="314"/>
    <row r="635" ht="14.25" customHeight="1" s="314"/>
    <row r="636" ht="14.25" customHeight="1" s="314"/>
    <row r="637" ht="14.25" customHeight="1" s="314"/>
    <row r="638" ht="14.25" customHeight="1" s="314"/>
    <row r="639" ht="14.25" customHeight="1" s="314"/>
    <row r="640" ht="14.25" customHeight="1" s="314"/>
    <row r="641" ht="14.25" customHeight="1" s="314"/>
    <row r="642" ht="14.25" customHeight="1" s="314"/>
    <row r="643" ht="14.25" customHeight="1" s="314"/>
    <row r="644" ht="14.25" customHeight="1" s="314"/>
    <row r="645" ht="14.25" customHeight="1" s="314"/>
    <row r="646" ht="14.25" customHeight="1" s="314"/>
    <row r="647" ht="14.25" customHeight="1" s="314"/>
    <row r="648" ht="14.25" customHeight="1" s="314"/>
    <row r="649" ht="14.25" customHeight="1" s="314"/>
    <row r="650" ht="14.25" customHeight="1" s="314"/>
    <row r="651" ht="14.25" customHeight="1" s="314"/>
    <row r="652" ht="14.25" customHeight="1" s="314"/>
    <row r="653" ht="14.25" customHeight="1" s="314"/>
    <row r="654" ht="14.25" customHeight="1" s="314"/>
    <row r="655" ht="14.25" customHeight="1" s="314"/>
    <row r="656" ht="14.25" customHeight="1" s="314"/>
    <row r="657" ht="14.25" customHeight="1" s="314"/>
    <row r="658" ht="14.25" customHeight="1" s="314"/>
    <row r="659" ht="14.25" customHeight="1" s="314"/>
    <row r="660" ht="14.25" customHeight="1" s="314"/>
    <row r="661" ht="14.25" customHeight="1" s="314"/>
    <row r="662" ht="14.25" customHeight="1" s="314"/>
    <row r="663" ht="14.25" customHeight="1" s="314"/>
    <row r="664" ht="14.25" customHeight="1" s="314"/>
    <row r="665" ht="14.25" customHeight="1" s="314"/>
    <row r="666" ht="14.25" customHeight="1" s="314"/>
    <row r="667" ht="14.25" customHeight="1" s="314"/>
    <row r="668" ht="14.25" customHeight="1" s="314"/>
    <row r="669" ht="14.25" customHeight="1" s="314"/>
    <row r="670" ht="14.25" customHeight="1" s="314"/>
    <row r="671" ht="14.25" customHeight="1" s="314"/>
    <row r="672" ht="14.25" customHeight="1" s="314"/>
    <row r="673" ht="14.25" customHeight="1" s="314"/>
    <row r="674" ht="14.25" customHeight="1" s="314"/>
    <row r="675" ht="14.25" customHeight="1" s="314"/>
    <row r="676" ht="14.25" customHeight="1" s="314"/>
    <row r="677" ht="14.25" customHeight="1" s="314"/>
    <row r="678" ht="14.25" customHeight="1" s="314"/>
    <row r="679" ht="14.25" customHeight="1" s="314"/>
    <row r="680" ht="14.25" customHeight="1" s="314"/>
    <row r="681" ht="14.25" customHeight="1" s="314"/>
    <row r="682" ht="14.25" customHeight="1" s="314"/>
    <row r="683" ht="14.25" customHeight="1" s="314"/>
    <row r="684" ht="14.25" customHeight="1" s="314"/>
    <row r="685" ht="14.25" customHeight="1" s="314"/>
    <row r="686" ht="14.25" customHeight="1" s="314"/>
    <row r="687" ht="14.25" customHeight="1" s="314"/>
    <row r="688" ht="14.25" customHeight="1" s="314"/>
    <row r="689" ht="14.25" customHeight="1" s="314"/>
    <row r="690" ht="14.25" customHeight="1" s="314"/>
    <row r="691" ht="14.25" customHeight="1" s="314"/>
    <row r="692" ht="14.25" customHeight="1" s="314"/>
    <row r="693" ht="14.25" customHeight="1" s="314"/>
    <row r="694" ht="14.25" customHeight="1" s="314"/>
    <row r="695" ht="14.25" customHeight="1" s="314"/>
    <row r="696" ht="14.25" customHeight="1" s="314"/>
    <row r="697" ht="14.25" customHeight="1" s="314"/>
    <row r="698" ht="14.25" customHeight="1" s="314"/>
    <row r="699" ht="14.25" customHeight="1" s="314"/>
    <row r="700" ht="14.25" customHeight="1" s="314"/>
    <row r="701" ht="14.25" customHeight="1" s="314"/>
    <row r="702" ht="14.25" customHeight="1" s="314"/>
    <row r="703" ht="14.25" customHeight="1" s="314"/>
    <row r="704" ht="14.25" customHeight="1" s="314"/>
    <row r="705" ht="14.25" customHeight="1" s="314"/>
    <row r="706" ht="14.25" customHeight="1" s="314"/>
    <row r="707" ht="14.25" customHeight="1" s="314"/>
    <row r="708" ht="14.25" customHeight="1" s="314"/>
    <row r="709" ht="14.25" customHeight="1" s="314"/>
    <row r="710" ht="14.25" customHeight="1" s="314"/>
    <row r="711" ht="14.25" customHeight="1" s="314"/>
    <row r="712" ht="14.25" customHeight="1" s="314"/>
    <row r="713" ht="14.25" customHeight="1" s="314"/>
    <row r="714" ht="14.25" customHeight="1" s="314"/>
    <row r="715" ht="14.25" customHeight="1" s="314"/>
    <row r="716" ht="14.25" customHeight="1" s="314"/>
    <row r="717" ht="14.25" customHeight="1" s="314"/>
    <row r="718" ht="14.25" customHeight="1" s="314"/>
    <row r="719" ht="14.25" customHeight="1" s="314"/>
    <row r="720" ht="14.25" customHeight="1" s="314"/>
    <row r="721" ht="14.25" customHeight="1" s="314"/>
    <row r="722" ht="14.25" customHeight="1" s="314"/>
    <row r="723" ht="14.25" customHeight="1" s="314"/>
    <row r="724" ht="14.25" customHeight="1" s="314"/>
    <row r="725" ht="14.25" customHeight="1" s="314"/>
    <row r="726" ht="14.25" customHeight="1" s="314"/>
    <row r="727" ht="14.25" customHeight="1" s="314"/>
    <row r="728" ht="14.25" customHeight="1" s="314"/>
    <row r="729" ht="14.25" customHeight="1" s="314"/>
    <row r="730" ht="14.25" customHeight="1" s="314"/>
    <row r="731" ht="14.25" customHeight="1" s="314"/>
    <row r="732" ht="14.25" customHeight="1" s="314"/>
    <row r="733" ht="14.25" customHeight="1" s="314"/>
    <row r="734" ht="14.25" customHeight="1" s="314"/>
    <row r="735" ht="14.25" customHeight="1" s="314"/>
    <row r="736" ht="14.25" customHeight="1" s="314"/>
    <row r="737" ht="14.25" customHeight="1" s="314"/>
    <row r="738" ht="14.25" customHeight="1" s="314"/>
    <row r="739" ht="14.25" customHeight="1" s="314"/>
    <row r="740" ht="14.25" customHeight="1" s="314"/>
    <row r="741" ht="14.25" customHeight="1" s="314"/>
    <row r="742" ht="14.25" customHeight="1" s="314"/>
    <row r="743" ht="14.25" customHeight="1" s="314"/>
    <row r="744" ht="14.25" customHeight="1" s="314"/>
    <row r="745" ht="14.25" customHeight="1" s="314"/>
    <row r="746" ht="14.25" customHeight="1" s="314"/>
    <row r="747" ht="14.25" customHeight="1" s="314"/>
    <row r="748" ht="14.25" customHeight="1" s="314"/>
    <row r="749" ht="14.25" customHeight="1" s="314"/>
    <row r="750" ht="14.25" customHeight="1" s="314"/>
    <row r="751" ht="14.25" customHeight="1" s="314"/>
    <row r="752" ht="14.25" customHeight="1" s="314"/>
    <row r="753" ht="14.25" customHeight="1" s="314"/>
    <row r="754" ht="14.25" customHeight="1" s="314"/>
    <row r="755" ht="14.25" customHeight="1" s="314"/>
    <row r="756" ht="14.25" customHeight="1" s="314"/>
    <row r="757" ht="14.25" customHeight="1" s="314"/>
    <row r="758" ht="14.25" customHeight="1" s="314"/>
    <row r="759" ht="14.25" customHeight="1" s="314"/>
    <row r="760" ht="14.25" customHeight="1" s="314"/>
    <row r="761" ht="14.25" customHeight="1" s="314"/>
    <row r="762" ht="14.25" customHeight="1" s="314"/>
    <row r="763" ht="14.25" customHeight="1" s="314"/>
    <row r="764" ht="14.25" customHeight="1" s="314"/>
    <row r="765" ht="14.25" customHeight="1" s="314"/>
    <row r="766" ht="14.25" customHeight="1" s="314"/>
    <row r="767" ht="14.25" customHeight="1" s="314"/>
    <row r="768" ht="14.25" customHeight="1" s="314"/>
    <row r="769" ht="14.25" customHeight="1" s="314"/>
    <row r="770" ht="14.25" customHeight="1" s="314"/>
    <row r="771" ht="14.25" customHeight="1" s="314"/>
    <row r="772" ht="14.25" customHeight="1" s="314"/>
    <row r="773" ht="14.25" customHeight="1" s="314"/>
    <row r="774" ht="14.25" customHeight="1" s="314"/>
    <row r="775" ht="14.25" customHeight="1" s="314"/>
    <row r="776" ht="14.25" customHeight="1" s="314"/>
    <row r="777" ht="14.25" customHeight="1" s="314"/>
    <row r="778" ht="14.25" customHeight="1" s="314"/>
    <row r="779" ht="14.25" customHeight="1" s="314"/>
    <row r="780" ht="14.25" customHeight="1" s="314"/>
    <row r="781" ht="14.25" customHeight="1" s="314"/>
    <row r="782" ht="14.25" customHeight="1" s="314"/>
    <row r="783" ht="14.25" customHeight="1" s="314"/>
    <row r="784" ht="14.25" customHeight="1" s="314"/>
    <row r="785" ht="14.25" customHeight="1" s="314"/>
    <row r="786" ht="14.25" customHeight="1" s="314"/>
    <row r="787" ht="14.25" customHeight="1" s="314"/>
    <row r="788" ht="14.25" customHeight="1" s="314"/>
    <row r="789" ht="14.25" customHeight="1" s="314"/>
    <row r="790" ht="14.25" customHeight="1" s="314"/>
    <row r="791" ht="14.25" customHeight="1" s="314"/>
    <row r="792" ht="14.25" customHeight="1" s="314"/>
    <row r="793" ht="14.25" customHeight="1" s="314"/>
    <row r="794" ht="14.25" customHeight="1" s="314"/>
    <row r="795" ht="14.25" customHeight="1" s="314"/>
    <row r="796" ht="14.25" customHeight="1" s="314"/>
    <row r="797" ht="14.25" customHeight="1" s="314"/>
    <row r="798" ht="14.25" customHeight="1" s="314"/>
    <row r="799" ht="14.25" customHeight="1" s="314"/>
    <row r="800" ht="14.25" customHeight="1" s="314"/>
    <row r="801" ht="14.25" customHeight="1" s="314"/>
    <row r="802" ht="14.25" customHeight="1" s="314"/>
    <row r="803" ht="14.25" customHeight="1" s="314"/>
    <row r="804" ht="14.25" customHeight="1" s="314"/>
    <row r="805" ht="14.25" customHeight="1" s="314"/>
    <row r="806" ht="14.25" customHeight="1" s="314"/>
    <row r="807" ht="14.25" customHeight="1" s="314"/>
    <row r="808" ht="14.25" customHeight="1" s="314"/>
    <row r="809" ht="14.25" customHeight="1" s="314"/>
    <row r="810" ht="14.25" customHeight="1" s="314"/>
    <row r="811" ht="14.25" customHeight="1" s="314"/>
    <row r="812" ht="14.25" customHeight="1" s="314"/>
    <row r="813" ht="14.25" customHeight="1" s="314"/>
    <row r="814" ht="14.25" customHeight="1" s="314"/>
    <row r="815" ht="14.25" customHeight="1" s="314"/>
    <row r="816" ht="14.25" customHeight="1" s="314"/>
    <row r="817" ht="14.25" customHeight="1" s="314"/>
    <row r="818" ht="14.25" customHeight="1" s="314"/>
    <row r="819" ht="14.25" customHeight="1" s="314"/>
    <row r="820" ht="14.25" customHeight="1" s="314"/>
    <row r="821" ht="14.25" customHeight="1" s="314"/>
    <row r="822" ht="14.25" customHeight="1" s="314"/>
    <row r="823" ht="14.25" customHeight="1" s="314"/>
    <row r="824" ht="14.25" customHeight="1" s="314"/>
    <row r="825" ht="14.25" customHeight="1" s="314"/>
    <row r="826" ht="14.25" customHeight="1" s="314"/>
    <row r="827" ht="14.25" customHeight="1" s="314"/>
    <row r="828" ht="14.25" customHeight="1" s="314"/>
    <row r="829" ht="14.25" customHeight="1" s="314"/>
    <row r="830" ht="14.25" customHeight="1" s="314"/>
    <row r="831" ht="14.25" customHeight="1" s="314"/>
    <row r="832" ht="14.25" customHeight="1" s="314"/>
    <row r="833" ht="14.25" customHeight="1" s="314"/>
    <row r="834" ht="14.25" customHeight="1" s="314"/>
    <row r="835" ht="14.25" customHeight="1" s="314"/>
    <row r="836" ht="14.25" customHeight="1" s="314"/>
    <row r="837" ht="14.25" customHeight="1" s="314"/>
    <row r="838" ht="14.25" customHeight="1" s="314"/>
    <row r="839" ht="14.25" customHeight="1" s="314"/>
    <row r="840" ht="14.25" customHeight="1" s="314"/>
    <row r="841" ht="14.25" customHeight="1" s="314"/>
    <row r="842" ht="14.25" customHeight="1" s="314"/>
    <row r="843" ht="14.25" customHeight="1" s="314"/>
    <row r="844" ht="14.25" customHeight="1" s="314"/>
    <row r="845" ht="14.25" customHeight="1" s="314"/>
    <row r="846" ht="14.25" customHeight="1" s="314"/>
    <row r="847" ht="14.25" customHeight="1" s="314"/>
    <row r="848" ht="14.25" customHeight="1" s="314"/>
    <row r="849" ht="14.25" customHeight="1" s="314"/>
    <row r="850" ht="14.25" customHeight="1" s="314"/>
    <row r="851" ht="14.25" customHeight="1" s="314"/>
    <row r="852" ht="14.25" customHeight="1" s="314"/>
    <row r="853" ht="14.25" customHeight="1" s="314"/>
    <row r="854" ht="14.25" customHeight="1" s="314"/>
    <row r="855" ht="14.25" customHeight="1" s="314"/>
    <row r="856" ht="14.25" customHeight="1" s="314"/>
    <row r="857" ht="14.25" customHeight="1" s="314"/>
    <row r="858" ht="14.25" customHeight="1" s="314"/>
    <row r="859" ht="14.25" customHeight="1" s="314"/>
    <row r="860" ht="14.25" customHeight="1" s="314"/>
    <row r="861" ht="14.25" customHeight="1" s="314"/>
    <row r="862" ht="14.25" customHeight="1" s="314"/>
    <row r="863" ht="14.25" customHeight="1" s="314"/>
    <row r="864" ht="14.25" customHeight="1" s="314"/>
    <row r="865" ht="14.25" customHeight="1" s="314"/>
    <row r="866" ht="14.25" customHeight="1" s="314"/>
    <row r="867" ht="14.25" customHeight="1" s="314"/>
    <row r="868" ht="14.25" customHeight="1" s="314"/>
    <row r="869" ht="14.25" customHeight="1" s="314"/>
    <row r="870" ht="14.25" customHeight="1" s="314"/>
    <row r="871" ht="14.25" customHeight="1" s="314"/>
    <row r="872" ht="14.25" customHeight="1" s="314"/>
    <row r="873" ht="14.25" customHeight="1" s="314"/>
    <row r="874" ht="14.25" customHeight="1" s="314"/>
    <row r="875" ht="14.25" customHeight="1" s="314"/>
    <row r="876" ht="14.25" customHeight="1" s="314"/>
    <row r="877" ht="14.25" customHeight="1" s="314"/>
    <row r="878" ht="14.25" customHeight="1" s="314"/>
    <row r="879" ht="14.25" customHeight="1" s="314"/>
    <row r="880" ht="14.25" customHeight="1" s="314"/>
    <row r="881" ht="14.25" customHeight="1" s="314"/>
    <row r="882" ht="14.25" customHeight="1" s="314"/>
    <row r="883" ht="14.25" customHeight="1" s="314"/>
    <row r="884" ht="14.25" customHeight="1" s="314"/>
    <row r="885" ht="14.25" customHeight="1" s="314"/>
    <row r="886" ht="14.25" customHeight="1" s="314"/>
    <row r="887" ht="14.25" customHeight="1" s="314"/>
    <row r="888" ht="14.25" customHeight="1" s="314"/>
    <row r="889" ht="14.25" customHeight="1" s="314"/>
    <row r="890" ht="14.25" customHeight="1" s="314"/>
    <row r="891" ht="14.25" customHeight="1" s="314"/>
    <row r="892" ht="14.25" customHeight="1" s="314"/>
    <row r="893" ht="14.25" customHeight="1" s="314"/>
    <row r="894" ht="14.25" customHeight="1" s="314"/>
    <row r="895" ht="14.25" customHeight="1" s="314"/>
    <row r="896" ht="14.25" customHeight="1" s="314"/>
    <row r="897" ht="14.25" customHeight="1" s="314"/>
    <row r="898" ht="14.25" customHeight="1" s="314"/>
    <row r="899" ht="14.25" customHeight="1" s="314"/>
    <row r="900" ht="14.25" customHeight="1" s="314"/>
    <row r="901" ht="14.25" customHeight="1" s="314"/>
    <row r="902" ht="14.25" customHeight="1" s="314"/>
    <row r="903" ht="14.25" customHeight="1" s="314"/>
    <row r="904" ht="14.25" customHeight="1" s="314"/>
    <row r="905" ht="14.25" customHeight="1" s="314"/>
    <row r="906" ht="14.25" customHeight="1" s="314"/>
    <row r="907" ht="14.25" customHeight="1" s="314"/>
    <row r="908" ht="14.25" customHeight="1" s="314"/>
    <row r="909" ht="14.25" customHeight="1" s="314"/>
    <row r="910" ht="14.25" customHeight="1" s="314"/>
    <row r="911" ht="14.25" customHeight="1" s="314"/>
    <row r="912" ht="14.25" customHeight="1" s="314"/>
    <row r="913" ht="14.25" customHeight="1" s="314"/>
    <row r="914" ht="14.25" customHeight="1" s="314"/>
    <row r="915" ht="14.25" customHeight="1" s="314"/>
    <row r="916" ht="14.25" customHeight="1" s="314"/>
    <row r="917" ht="14.25" customHeight="1" s="314"/>
    <row r="918" ht="14.25" customHeight="1" s="314"/>
    <row r="919" ht="14.25" customHeight="1" s="314"/>
    <row r="920" ht="14.25" customHeight="1" s="314"/>
    <row r="921" ht="14.25" customHeight="1" s="314"/>
    <row r="922" ht="14.25" customHeight="1" s="314"/>
    <row r="923" ht="14.25" customHeight="1" s="314"/>
    <row r="924" ht="14.25" customHeight="1" s="314"/>
    <row r="925" ht="14.25" customHeight="1" s="314"/>
    <row r="926" ht="14.25" customHeight="1" s="314"/>
    <row r="927" ht="14.25" customHeight="1" s="314"/>
    <row r="928" ht="14.25" customHeight="1" s="314"/>
    <row r="929" ht="14.25" customHeight="1" s="314"/>
    <row r="930" ht="14.25" customHeight="1" s="314"/>
    <row r="931" ht="14.25" customHeight="1" s="314"/>
    <row r="932" ht="14.25" customHeight="1" s="314"/>
    <row r="933" ht="14.25" customHeight="1" s="314"/>
    <row r="934" ht="14.25" customHeight="1" s="314"/>
    <row r="935" ht="14.25" customHeight="1" s="314"/>
    <row r="936" ht="14.25" customHeight="1" s="314"/>
    <row r="937" ht="14.25" customHeight="1" s="314"/>
    <row r="938" ht="14.25" customHeight="1" s="314"/>
    <row r="939" ht="14.25" customHeight="1" s="314"/>
    <row r="940" ht="14.25" customHeight="1" s="314"/>
    <row r="941" ht="14.25" customHeight="1" s="314"/>
    <row r="942" ht="14.25" customHeight="1" s="314"/>
    <row r="943" ht="14.25" customHeight="1" s="314"/>
    <row r="944" ht="14.25" customHeight="1" s="314"/>
    <row r="945" ht="14.25" customHeight="1" s="314"/>
    <row r="946" ht="14.25" customHeight="1" s="314"/>
    <row r="947" ht="14.25" customHeight="1" s="314"/>
    <row r="948" ht="14.25" customHeight="1" s="314"/>
    <row r="949" ht="14.25" customHeight="1" s="314"/>
    <row r="950" ht="14.25" customHeight="1" s="314"/>
    <row r="951" ht="14.25" customHeight="1" s="314"/>
    <row r="952" ht="14.25" customHeight="1" s="314"/>
    <row r="953" ht="14.25" customHeight="1" s="314"/>
    <row r="954" ht="14.25" customHeight="1" s="314"/>
    <row r="955" ht="14.25" customHeight="1" s="314"/>
    <row r="956" ht="14.25" customHeight="1" s="314"/>
    <row r="957" ht="14.25" customHeight="1" s="314"/>
    <row r="958" ht="14.25" customHeight="1" s="314"/>
    <row r="959" ht="14.25" customHeight="1" s="314"/>
    <row r="960" ht="14.25" customHeight="1" s="314"/>
    <row r="961" ht="14.25" customHeight="1" s="314"/>
    <row r="962" ht="14.25" customHeight="1" s="314"/>
    <row r="963" ht="14.25" customHeight="1" s="314"/>
    <row r="964" ht="14.25" customHeight="1" s="314"/>
    <row r="965" ht="14.25" customHeight="1" s="314"/>
    <row r="966" ht="14.25" customHeight="1" s="314"/>
    <row r="967" ht="14.25" customHeight="1" s="314"/>
    <row r="968" ht="14.25" customHeight="1" s="314"/>
    <row r="969" ht="14.25" customHeight="1" s="314"/>
    <row r="970" ht="14.25" customHeight="1" s="314"/>
    <row r="971" ht="14.25" customHeight="1" s="314"/>
    <row r="972" ht="14.25" customHeight="1" s="314"/>
    <row r="973" ht="14.25" customHeight="1" s="314"/>
    <row r="974" ht="14.25" customHeight="1" s="314"/>
    <row r="975" ht="14.25" customHeight="1" s="314"/>
    <row r="976" ht="14.25" customHeight="1" s="314"/>
    <row r="977" ht="14.25" customHeight="1" s="314"/>
    <row r="978" ht="14.25" customHeight="1" s="314"/>
    <row r="979" ht="14.25" customHeight="1" s="314"/>
    <row r="980" ht="14.25" customHeight="1" s="314"/>
    <row r="981" ht="14.25" customHeight="1" s="314"/>
    <row r="982" ht="14.25" customHeight="1" s="314"/>
    <row r="983" ht="14.25" customHeight="1" s="314"/>
    <row r="984" ht="14.25" customHeight="1" s="314"/>
    <row r="985" ht="14.25" customHeight="1" s="314"/>
    <row r="986" ht="14.25" customHeight="1" s="314"/>
    <row r="987" ht="14.25" customHeight="1" s="314"/>
    <row r="988" ht="14.25" customHeight="1" s="314"/>
    <row r="989" ht="14.25" customHeight="1" s="314"/>
    <row r="990" ht="14.25" customHeight="1" s="314"/>
    <row r="991" ht="14.25" customHeight="1" s="314"/>
    <row r="992" ht="14.25" customHeight="1" s="314"/>
    <row r="993" ht="14.25" customHeight="1" s="314"/>
    <row r="994" ht="14.25" customHeight="1" s="314"/>
    <row r="995" ht="14.25" customHeight="1" s="314"/>
    <row r="996" ht="14.25" customHeight="1" s="314"/>
    <row r="997" ht="14.25" customHeight="1" s="314"/>
    <row r="998" ht="14.25" customHeight="1" s="314"/>
    <row r="999" ht="14.25" customHeight="1" s="314"/>
    <row r="1000" ht="14.25" customHeight="1" s="31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Z41"/>
  <sheetViews>
    <sheetView workbookViewId="0">
      <selection activeCell="A1" sqref="A1"/>
    </sheetView>
  </sheetViews>
  <sheetFormatPr baseColWidth="10" defaultColWidth="14.5" defaultRowHeight="15" customHeight="1"/>
  <cols>
    <col width="10.6640625" customWidth="1" style="314" min="1" max="15"/>
    <col width="31.33203125" customWidth="1" style="314" min="16" max="16"/>
    <col width="10.6640625" customWidth="1" style="314" min="17" max="27"/>
  </cols>
  <sheetData>
    <row r="1" ht="14.25" customHeight="1" s="314">
      <c r="B1" s="8" t="inlineStr">
        <is>
          <t>Fecha fin cargue</t>
        </is>
      </c>
      <c r="C1" s="8" t="inlineStr">
        <is>
          <t>CC</t>
        </is>
      </c>
      <c r="D1" s="8" t="inlineStr">
        <is>
          <t>FHPCC</t>
        </is>
      </c>
      <c r="E1" s="8" t="inlineStr">
        <is>
          <t>Granja</t>
        </is>
      </c>
      <c r="F1" s="8" t="inlineStr">
        <is>
          <t>PPE (kg)</t>
        </is>
      </c>
      <c r="G1" s="8" t="inlineStr">
        <is>
          <t>PCC (kg)</t>
        </is>
      </c>
      <c r="H1" s="8" t="inlineStr">
        <is>
          <t>FHPCR</t>
        </is>
      </c>
      <c r="I1" s="8" t="inlineStr">
        <is>
          <t>PCR (kg)</t>
        </is>
      </c>
      <c r="J1" s="8" t="inlineStr">
        <is>
          <t>GD (mm)</t>
        </is>
      </c>
      <c r="K1" s="8" t="inlineStr">
        <is>
          <t>ML (mm)</t>
        </is>
      </c>
      <c r="L1" s="8" t="inlineStr">
        <is>
          <t>SEUROP</t>
        </is>
      </c>
      <c r="M1" s="8" t="inlineStr">
        <is>
          <t>MC %</t>
        </is>
      </c>
      <c r="N1" s="8" t="inlineStr">
        <is>
          <t>MC (Kg)</t>
        </is>
      </c>
      <c r="O1" s="8" t="inlineStr">
        <is>
          <t>PSE</t>
        </is>
      </c>
      <c r="P1" s="8" t="inlineStr">
        <is>
          <t>Destino</t>
        </is>
      </c>
      <c r="Q1" s="8" t="inlineStr">
        <is>
          <t>Vehículo</t>
        </is>
      </c>
      <c r="R1" s="8" t="inlineStr">
        <is>
          <t>Código Despacho</t>
        </is>
      </c>
      <c r="S1" s="8" t="inlineStr">
        <is>
          <t>Merma PCC(Kg)</t>
        </is>
      </c>
      <c r="T1" s="8" t="inlineStr">
        <is>
          <t>Merma PCC(%)</t>
        </is>
      </c>
      <c r="U1" s="8" t="inlineStr">
        <is>
          <t>Merma PEC(Kg)</t>
        </is>
      </c>
      <c r="V1" s="8" t="inlineStr">
        <is>
          <t>Merma PEC(%)</t>
        </is>
      </c>
      <c r="W1" s="8" t="inlineStr">
        <is>
          <t>Merma PCR(PCC Kg)</t>
        </is>
      </c>
      <c r="X1" s="8" t="inlineStr">
        <is>
          <t>Merma PCR(PCC %)</t>
        </is>
      </c>
      <c r="Y1" s="8" t="inlineStr">
        <is>
          <t>Merma PCR(PEC Kg)</t>
        </is>
      </c>
      <c r="Z1" s="8" t="inlineStr">
        <is>
          <t>Merma PCR(PEC %)</t>
        </is>
      </c>
    </row>
    <row r="2" ht="14.25" customHeight="1" s="314">
      <c r="A2" s="9" t="inlineStr">
        <is>
          <t>2025-07-03 03:26:20</t>
        </is>
      </c>
      <c r="B2" s="9" t="inlineStr">
        <is>
          <t>2025-07-03 03:34:36</t>
        </is>
      </c>
      <c r="C2" s="9" t="inlineStr">
        <is>
          <t>6566-1</t>
        </is>
      </c>
      <c r="D2" s="10" t="n"/>
      <c r="E2" s="10" t="inlineStr">
        <is>
          <t>LA CIRCASIA</t>
        </is>
      </c>
      <c r="F2" s="11" t="n">
        <v>127.92</v>
      </c>
      <c r="G2" s="11" t="n">
        <v>106.6</v>
      </c>
      <c r="H2" s="12" t="n"/>
      <c r="I2" s="11" t="n">
        <v>102.1</v>
      </c>
      <c r="J2" s="11" t="n">
        <v>12</v>
      </c>
      <c r="K2" s="11" t="n">
        <v>86.40000000000001</v>
      </c>
      <c r="L2" s="10" t="inlineStr">
        <is>
          <t>S</t>
        </is>
      </c>
      <c r="M2" s="11" t="n">
        <v>59.84</v>
      </c>
      <c r="N2" s="11" t="n">
        <v>63.79</v>
      </c>
      <c r="O2" s="11" t="n">
        <v>56</v>
      </c>
      <c r="P2" s="10" t="inlineStr">
        <is>
          <t>PACARDYL SUPERMERCADO -MAYORISTA</t>
        </is>
      </c>
      <c r="Q2" s="10" t="inlineStr">
        <is>
          <t>WCP689</t>
        </is>
      </c>
      <c r="R2" s="10" t="inlineStr">
        <is>
          <t>DE-7845</t>
        </is>
      </c>
      <c r="S2" s="11" t="n"/>
      <c r="T2" s="10" t="n"/>
      <c r="U2" s="10" t="n"/>
      <c r="V2" s="10" t="n"/>
      <c r="W2" s="11" t="n"/>
      <c r="X2" s="10" t="n"/>
    </row>
    <row r="3" ht="14.25" customHeight="1" s="314">
      <c r="A3" s="9" t="inlineStr">
        <is>
          <t>2025-07-03 03:26:20</t>
        </is>
      </c>
      <c r="B3" s="9" t="inlineStr">
        <is>
          <t>2025-07-03 03:34:36</t>
        </is>
      </c>
      <c r="C3" s="9" t="inlineStr">
        <is>
          <t>6566-2</t>
        </is>
      </c>
      <c r="D3" s="10" t="n"/>
      <c r="E3" s="10" t="inlineStr">
        <is>
          <t>LA CIRCASIA</t>
        </is>
      </c>
      <c r="F3" s="11" t="n">
        <v>119.88</v>
      </c>
      <c r="G3" s="11" t="n">
        <v>99.90000000000001</v>
      </c>
      <c r="H3" s="12" t="n"/>
      <c r="I3" s="11" t="n">
        <v>95.7</v>
      </c>
      <c r="J3" s="11" t="n">
        <v>18</v>
      </c>
      <c r="K3" s="11" t="n">
        <v>75.2</v>
      </c>
      <c r="L3" s="10" t="inlineStr">
        <is>
          <t>E</t>
        </is>
      </c>
      <c r="M3" s="11" t="n">
        <v>54.29</v>
      </c>
      <c r="N3" s="11" t="n">
        <v>54.24</v>
      </c>
      <c r="O3" s="11" t="n">
        <v>52</v>
      </c>
      <c r="P3" s="10" t="inlineStr">
        <is>
          <t>PACARDYL SUPERMERCADO -MAYORISTA</t>
        </is>
      </c>
      <c r="Q3" s="10" t="inlineStr">
        <is>
          <t>WCP689</t>
        </is>
      </c>
      <c r="R3" s="10" t="inlineStr">
        <is>
          <t>DE-7845</t>
        </is>
      </c>
      <c r="S3" s="11" t="n"/>
      <c r="T3" s="10" t="n"/>
      <c r="U3" s="10" t="n"/>
      <c r="V3" s="10" t="n"/>
      <c r="W3" s="11" t="n"/>
      <c r="X3" s="10" t="n"/>
    </row>
    <row r="4" ht="14.25" customHeight="1" s="314">
      <c r="A4" s="9" t="inlineStr">
        <is>
          <t>2025-07-03 03:26:20</t>
        </is>
      </c>
      <c r="B4" s="9" t="inlineStr">
        <is>
          <t>2025-07-03 03:34:36</t>
        </is>
      </c>
      <c r="C4" s="9" t="inlineStr">
        <is>
          <t>6566-3</t>
        </is>
      </c>
      <c r="D4" s="10" t="n"/>
      <c r="E4" s="10" t="inlineStr">
        <is>
          <t>LA CIRCASIA</t>
        </is>
      </c>
      <c r="F4" s="11" t="n">
        <v>109.08</v>
      </c>
      <c r="G4" s="11" t="n">
        <v>90.90000000000001</v>
      </c>
      <c r="H4" s="12" t="n"/>
      <c r="I4" s="11" t="n">
        <v>86.8</v>
      </c>
      <c r="J4" s="11" t="n">
        <v>15.6</v>
      </c>
      <c r="K4" s="11" t="n">
        <v>83.59999999999999</v>
      </c>
      <c r="L4" s="10" t="inlineStr">
        <is>
          <t>E</t>
        </is>
      </c>
      <c r="M4" s="11" t="n">
        <v>57.04</v>
      </c>
      <c r="N4" s="11" t="n">
        <v>51.85</v>
      </c>
      <c r="O4" s="11" t="n">
        <v>51</v>
      </c>
      <c r="P4" s="10" t="inlineStr">
        <is>
          <t>PACARDYL SUPERMERCADO -MAYORISTA</t>
        </is>
      </c>
      <c r="Q4" s="10" t="inlineStr">
        <is>
          <t>WCP689</t>
        </is>
      </c>
      <c r="R4" s="10" t="inlineStr">
        <is>
          <t>DE-7845</t>
        </is>
      </c>
      <c r="S4" s="11" t="n"/>
      <c r="T4" s="10" t="n"/>
      <c r="U4" s="10" t="n"/>
      <c r="V4" s="10" t="n"/>
      <c r="W4" s="11" t="n"/>
      <c r="X4" s="10" t="n"/>
    </row>
    <row r="5" ht="14.25" customHeight="1" s="314">
      <c r="A5" s="9" t="inlineStr">
        <is>
          <t>2025-07-03 03:26:20</t>
        </is>
      </c>
      <c r="B5" s="9" t="inlineStr">
        <is>
          <t>2025-07-03 03:34:36</t>
        </is>
      </c>
      <c r="C5" s="9" t="inlineStr">
        <is>
          <t>6566-4</t>
        </is>
      </c>
      <c r="D5" s="10" t="n"/>
      <c r="E5" s="10" t="inlineStr">
        <is>
          <t>LA CIRCASIA</t>
        </is>
      </c>
      <c r="F5" s="11" t="n">
        <v>117.12</v>
      </c>
      <c r="G5" s="11" t="n">
        <v>97.59999999999999</v>
      </c>
      <c r="H5" s="12" t="n"/>
      <c r="I5" s="11" t="n">
        <v>93.8</v>
      </c>
      <c r="J5" s="11" t="n">
        <v>15.6</v>
      </c>
      <c r="K5" s="11" t="n">
        <v>75.59999999999999</v>
      </c>
      <c r="L5" s="10" t="inlineStr">
        <is>
          <t>E</t>
        </is>
      </c>
      <c r="M5" s="11" t="n">
        <v>55.96</v>
      </c>
      <c r="N5" s="11" t="n">
        <v>54.62</v>
      </c>
      <c r="O5" s="11" t="n">
        <v>51</v>
      </c>
      <c r="P5" s="10" t="inlineStr">
        <is>
          <t>PACARDYL SUPERMERCADO -MAYORISTA</t>
        </is>
      </c>
      <c r="Q5" s="10" t="inlineStr">
        <is>
          <t>WCP689</t>
        </is>
      </c>
      <c r="R5" s="10" t="inlineStr">
        <is>
          <t>DE-7845</t>
        </is>
      </c>
      <c r="S5" s="11" t="n"/>
      <c r="T5" s="10" t="n"/>
      <c r="U5" s="10" t="n"/>
      <c r="V5" s="10" t="n"/>
      <c r="W5" s="11" t="n"/>
      <c r="X5" s="10" t="n"/>
    </row>
    <row r="6" ht="14.25" customHeight="1" s="314">
      <c r="A6" s="9" t="inlineStr">
        <is>
          <t>2025-07-03 03:26:20</t>
        </is>
      </c>
      <c r="B6" s="9" t="inlineStr">
        <is>
          <t>2025-07-03 03:34:36</t>
        </is>
      </c>
      <c r="C6" s="9" t="inlineStr">
        <is>
          <t>6566-5</t>
        </is>
      </c>
      <c r="D6" s="10" t="n"/>
      <c r="E6" s="10" t="inlineStr">
        <is>
          <t>LA CIRCASIA</t>
        </is>
      </c>
      <c r="F6" s="11" t="n">
        <v>117.84</v>
      </c>
      <c r="G6" s="11" t="n">
        <v>98.2</v>
      </c>
      <c r="H6" s="12" t="n"/>
      <c r="I6" s="11" t="n">
        <v>94.5</v>
      </c>
      <c r="J6" s="11" t="n">
        <v>18.4</v>
      </c>
      <c r="K6" s="11" t="n">
        <v>73.59999999999999</v>
      </c>
      <c r="L6" s="10" t="inlineStr">
        <is>
          <t>E</t>
        </is>
      </c>
      <c r="M6" s="11" t="n">
        <v>53.8</v>
      </c>
      <c r="N6" s="11" t="n">
        <v>52.84</v>
      </c>
      <c r="O6" s="11" t="n">
        <v>47</v>
      </c>
      <c r="P6" s="10" t="inlineStr">
        <is>
          <t>PACARDYL SUPERMERCADO -MAYORISTA</t>
        </is>
      </c>
      <c r="Q6" s="10" t="inlineStr">
        <is>
          <t>WCP689</t>
        </is>
      </c>
      <c r="R6" s="10" t="inlineStr">
        <is>
          <t>DE-7845</t>
        </is>
      </c>
      <c r="S6" s="11" t="n"/>
      <c r="T6" s="10" t="n"/>
      <c r="U6" s="10" t="n"/>
      <c r="V6" s="10" t="n"/>
      <c r="W6" s="11" t="n"/>
      <c r="X6" s="10" t="n"/>
    </row>
    <row r="7" ht="14.25" customHeight="1" s="314">
      <c r="A7" s="9" t="inlineStr">
        <is>
          <t>2025-07-03 03:26:20</t>
        </is>
      </c>
      <c r="B7" s="9" t="inlineStr">
        <is>
          <t>2025-07-03 03:34:36</t>
        </is>
      </c>
      <c r="C7" s="9" t="inlineStr">
        <is>
          <t>6566-6</t>
        </is>
      </c>
      <c r="D7" s="10" t="n"/>
      <c r="E7" s="10" t="inlineStr">
        <is>
          <t>LA CIRCASIA</t>
        </is>
      </c>
      <c r="F7" s="11" t="n">
        <v>123.6</v>
      </c>
      <c r="G7" s="11" t="n">
        <v>103</v>
      </c>
      <c r="H7" s="12" t="n"/>
      <c r="I7" s="11" t="n">
        <v>98.3</v>
      </c>
      <c r="J7" s="11" t="n">
        <v>15.2</v>
      </c>
      <c r="K7" s="11" t="n">
        <v>74</v>
      </c>
      <c r="L7" s="10" t="inlineStr">
        <is>
          <t>E</t>
        </is>
      </c>
      <c r="M7" s="11" t="n">
        <v>56.02</v>
      </c>
      <c r="N7" s="11" t="n">
        <v>57.7</v>
      </c>
      <c r="O7" s="11" t="n">
        <v>44</v>
      </c>
      <c r="P7" s="10" t="inlineStr">
        <is>
          <t>PACARDYL SUPERMERCADO -MAYORISTA</t>
        </is>
      </c>
      <c r="Q7" s="10" t="inlineStr">
        <is>
          <t>WCP689</t>
        </is>
      </c>
      <c r="R7" s="10" t="inlineStr">
        <is>
          <t>DE-7845</t>
        </is>
      </c>
      <c r="S7" s="11" t="n"/>
      <c r="T7" s="10" t="n"/>
      <c r="U7" s="10" t="n"/>
      <c r="V7" s="10" t="n"/>
      <c r="W7" s="11" t="n"/>
      <c r="X7" s="10" t="n"/>
    </row>
    <row r="8" ht="14.25" customHeight="1" s="314">
      <c r="A8" s="9" t="inlineStr">
        <is>
          <t>2025-07-01 03:36:52</t>
        </is>
      </c>
      <c r="B8" s="9" t="inlineStr">
        <is>
          <t>2025-07-01 03:51:05</t>
        </is>
      </c>
      <c r="C8" s="9" t="inlineStr">
        <is>
          <t>6566-7</t>
        </is>
      </c>
      <c r="D8" s="10" t="n"/>
      <c r="E8" s="10" t="inlineStr">
        <is>
          <t>LA CIRCASIA</t>
        </is>
      </c>
      <c r="F8" s="11" t="n">
        <v>117</v>
      </c>
      <c r="G8" s="11" t="n">
        <v>97.5</v>
      </c>
      <c r="H8" s="12" t="n"/>
      <c r="I8" s="11" t="n">
        <v>93.59999999999999</v>
      </c>
      <c r="J8" s="11" t="n">
        <v>12.4</v>
      </c>
      <c r="K8" s="11" t="n">
        <v>70.8</v>
      </c>
      <c r="L8" s="10" t="inlineStr">
        <is>
          <t>E</t>
        </is>
      </c>
      <c r="M8" s="11" t="n">
        <v>57.47</v>
      </c>
      <c r="N8" s="11" t="n">
        <v>56.03</v>
      </c>
      <c r="O8" s="11" t="n">
        <v>47</v>
      </c>
      <c r="P8" s="10" t="inlineStr">
        <is>
          <t>CARNES VITAL SAS</t>
        </is>
      </c>
      <c r="Q8" s="10" t="inlineStr">
        <is>
          <t>WGU858</t>
        </is>
      </c>
      <c r="R8" s="10" t="inlineStr">
        <is>
          <t>DE-7788</t>
        </is>
      </c>
      <c r="S8" s="11" t="n"/>
      <c r="T8" s="10" t="n"/>
      <c r="U8" s="10" t="n"/>
      <c r="V8" s="10" t="n"/>
      <c r="W8" s="11" t="n"/>
      <c r="X8" s="10" t="n"/>
    </row>
    <row r="9" ht="14.25" customHeight="1" s="314">
      <c r="A9" s="9" t="inlineStr">
        <is>
          <t>2025-07-01 03:36:52</t>
        </is>
      </c>
      <c r="B9" s="9" t="inlineStr">
        <is>
          <t>2025-07-01 03:51:05</t>
        </is>
      </c>
      <c r="C9" s="9" t="inlineStr">
        <is>
          <t>6566-8</t>
        </is>
      </c>
      <c r="D9" s="10" t="n"/>
      <c r="E9" s="10" t="inlineStr">
        <is>
          <t>LA CIRCASIA</t>
        </is>
      </c>
      <c r="F9" s="11" t="n">
        <v>115.44</v>
      </c>
      <c r="G9" s="11" t="n">
        <v>96.2</v>
      </c>
      <c r="H9" s="12" t="n"/>
      <c r="I9" s="11" t="n">
        <v>92.90000000000001</v>
      </c>
      <c r="J9" s="11" t="n">
        <v>16.8</v>
      </c>
      <c r="K9" s="11" t="n">
        <v>76.8</v>
      </c>
      <c r="L9" s="10" t="inlineStr">
        <is>
          <t>E</t>
        </is>
      </c>
      <c r="M9" s="11" t="n">
        <v>55.31</v>
      </c>
      <c r="N9" s="11" t="n">
        <v>53.21</v>
      </c>
      <c r="O9" s="11" t="n">
        <v>52</v>
      </c>
      <c r="P9" s="10" t="inlineStr">
        <is>
          <t>CARNES VITAL SAS</t>
        </is>
      </c>
      <c r="Q9" s="10" t="inlineStr">
        <is>
          <t>WGU858</t>
        </is>
      </c>
      <c r="R9" s="10" t="inlineStr">
        <is>
          <t>DE-7788</t>
        </is>
      </c>
      <c r="S9" s="11" t="n"/>
      <c r="T9" s="10" t="n"/>
      <c r="U9" s="10" t="n"/>
      <c r="V9" s="10" t="n"/>
      <c r="W9" s="11" t="n"/>
      <c r="X9" s="10" t="n"/>
    </row>
    <row r="10" ht="14.25" customHeight="1" s="314">
      <c r="A10" s="9" t="inlineStr">
        <is>
          <t>2025-07-01 03:36:52</t>
        </is>
      </c>
      <c r="B10" s="9" t="inlineStr">
        <is>
          <t>2025-07-01 03:51:05</t>
        </is>
      </c>
      <c r="C10" s="9" t="inlineStr">
        <is>
          <t>6566-9</t>
        </is>
      </c>
      <c r="D10" s="10" t="n"/>
      <c r="E10" s="10" t="inlineStr">
        <is>
          <t>LA CIRCASIA</t>
        </is>
      </c>
      <c r="F10" s="11" t="n">
        <v>118.2</v>
      </c>
      <c r="G10" s="11" t="n">
        <v>98.5</v>
      </c>
      <c r="H10" s="12" t="n"/>
      <c r="I10" s="11" t="n">
        <v>95</v>
      </c>
      <c r="J10" s="10" t="n">
        <v>14</v>
      </c>
      <c r="K10" s="10" t="n">
        <v>74.40000000000001</v>
      </c>
      <c r="L10" s="10" t="inlineStr">
        <is>
          <t>E</t>
        </is>
      </c>
      <c r="M10" s="10" t="n">
        <v>56.88</v>
      </c>
      <c r="N10" s="10" t="n">
        <v>56.02</v>
      </c>
      <c r="O10" s="10" t="n">
        <v>48</v>
      </c>
      <c r="P10" s="10" t="inlineStr">
        <is>
          <t>CARNES VITAL SAS</t>
        </is>
      </c>
      <c r="Q10" s="10" t="inlineStr">
        <is>
          <t>WGU858</t>
        </is>
      </c>
      <c r="R10" s="10" t="inlineStr">
        <is>
          <t>DE-7788</t>
        </is>
      </c>
      <c r="S10" s="11" t="n"/>
      <c r="T10" s="10" t="n"/>
      <c r="U10" s="10" t="n"/>
      <c r="V10" s="10" t="n"/>
      <c r="W10" s="11" t="n"/>
      <c r="X10" s="10" t="n"/>
    </row>
    <row r="11" ht="14.25" customHeight="1" s="314">
      <c r="A11" s="9" t="inlineStr">
        <is>
          <t>2025-07-03 03:26:20</t>
        </is>
      </c>
      <c r="B11" s="9" t="inlineStr">
        <is>
          <t>2025-07-03 03:34:36</t>
        </is>
      </c>
      <c r="C11" s="9" t="inlineStr">
        <is>
          <t>6566-10</t>
        </is>
      </c>
      <c r="D11" s="10" t="n"/>
      <c r="E11" s="10" t="inlineStr">
        <is>
          <t>LA CIRCASIA</t>
        </is>
      </c>
      <c r="F11" s="11" t="n">
        <v>116.4</v>
      </c>
      <c r="G11" s="11" t="n">
        <v>97</v>
      </c>
      <c r="H11" s="12" t="n"/>
      <c r="I11" s="11" t="n">
        <v>93.2</v>
      </c>
      <c r="J11" s="11" t="n">
        <v>19.2</v>
      </c>
      <c r="K11" s="11" t="n">
        <v>77.59999999999999</v>
      </c>
      <c r="L11" s="10" t="inlineStr">
        <is>
          <t>E</t>
        </is>
      </c>
      <c r="M11" s="11" t="n">
        <v>53.81</v>
      </c>
      <c r="N11" s="11" t="n">
        <v>52.19</v>
      </c>
      <c r="O11" s="11" t="n">
        <v>43</v>
      </c>
      <c r="P11" s="10" t="inlineStr">
        <is>
          <t>PACARDYL SUPERMERCADO -MAYORISTA</t>
        </is>
      </c>
      <c r="Q11" s="10" t="inlineStr">
        <is>
          <t>WCP689</t>
        </is>
      </c>
      <c r="R11" s="10" t="inlineStr">
        <is>
          <t>DE-7845</t>
        </is>
      </c>
      <c r="S11" s="11" t="n"/>
      <c r="T11" s="10" t="n"/>
      <c r="U11" s="10" t="n"/>
      <c r="V11" s="10" t="n"/>
      <c r="W11" s="11" t="n"/>
      <c r="X11" s="10" t="n"/>
    </row>
    <row r="12" ht="14.25" customHeight="1" s="314">
      <c r="A12" s="9" t="inlineStr">
        <is>
          <t>2025-07-03 03:26:20</t>
        </is>
      </c>
      <c r="B12" s="9" t="inlineStr">
        <is>
          <t>2025-07-03 03:34:36</t>
        </is>
      </c>
      <c r="C12" s="9" t="inlineStr">
        <is>
          <t>6566-11</t>
        </is>
      </c>
      <c r="D12" s="10" t="n"/>
      <c r="E12" s="10" t="inlineStr">
        <is>
          <t>LA CIRCASIA</t>
        </is>
      </c>
      <c r="F12" s="11" t="n">
        <v>126.48</v>
      </c>
      <c r="G12" s="11" t="n">
        <v>105.4</v>
      </c>
      <c r="H12" s="12" t="n"/>
      <c r="I12" s="11" t="n">
        <v>101.3</v>
      </c>
      <c r="J12" s="11" t="n">
        <v>19.2</v>
      </c>
      <c r="K12" s="11" t="n">
        <v>66.40000000000001</v>
      </c>
      <c r="L12" s="10" t="inlineStr">
        <is>
          <t>U</t>
        </is>
      </c>
      <c r="M12" s="11" t="n">
        <v>52.29</v>
      </c>
      <c r="N12" s="11" t="n">
        <v>55.12</v>
      </c>
      <c r="O12" s="11" t="n">
        <v>39</v>
      </c>
      <c r="P12" s="10" t="inlineStr">
        <is>
          <t>CARNES COSTA AZUL</t>
        </is>
      </c>
      <c r="Q12" s="10" t="inlineStr">
        <is>
          <t>WCP689</t>
        </is>
      </c>
      <c r="R12" s="10" t="inlineStr">
        <is>
          <t>DE-7845</t>
        </is>
      </c>
      <c r="S12" s="11" t="n"/>
      <c r="T12" s="10" t="n"/>
      <c r="U12" s="10" t="n"/>
      <c r="V12" s="10" t="n"/>
      <c r="W12" s="11" t="n"/>
      <c r="X12" s="10" t="n"/>
    </row>
    <row r="13" ht="14.25" customHeight="1" s="314">
      <c r="A13" s="9" t="inlineStr">
        <is>
          <t>2025-07-03 03:26:20</t>
        </is>
      </c>
      <c r="B13" s="9" t="inlineStr">
        <is>
          <t>2025-07-03 03:34:36</t>
        </is>
      </c>
      <c r="C13" s="9" t="inlineStr">
        <is>
          <t>6566-12</t>
        </is>
      </c>
      <c r="D13" s="10" t="n"/>
      <c r="E13" s="10" t="inlineStr">
        <is>
          <t>LA CIRCASIA</t>
        </is>
      </c>
      <c r="F13" s="11" t="n">
        <v>114.12</v>
      </c>
      <c r="G13" s="11" t="n">
        <v>95.09999999999999</v>
      </c>
      <c r="H13" s="12" t="n"/>
      <c r="I13" s="11" t="n">
        <v>91.3</v>
      </c>
      <c r="J13" s="11" t="n">
        <v>20.8</v>
      </c>
      <c r="K13" s="11" t="n">
        <v>71.2</v>
      </c>
      <c r="L13" s="10" t="inlineStr">
        <is>
          <t>U</t>
        </is>
      </c>
      <c r="M13" s="11" t="n">
        <v>51.86</v>
      </c>
      <c r="N13" s="11" t="n">
        <v>49.32</v>
      </c>
      <c r="O13" s="11" t="n">
        <v>45</v>
      </c>
      <c r="P13" s="10" t="inlineStr">
        <is>
          <t>CARNES COSTA AZUL</t>
        </is>
      </c>
      <c r="Q13" s="10" t="inlineStr">
        <is>
          <t>WCP689</t>
        </is>
      </c>
      <c r="R13" s="10" t="inlineStr">
        <is>
          <t>DE-7845</t>
        </is>
      </c>
      <c r="S13" s="11" t="n"/>
      <c r="T13" s="10" t="n"/>
      <c r="U13" s="10" t="n"/>
      <c r="V13" s="10" t="n"/>
      <c r="W13" s="11" t="n"/>
      <c r="X13" s="10" t="n"/>
    </row>
    <row r="14" ht="14.25" customHeight="1" s="314">
      <c r="A14" s="9" t="inlineStr">
        <is>
          <t>2025-07-03 06:49:14</t>
        </is>
      </c>
      <c r="B14" s="9" t="inlineStr">
        <is>
          <t>2025-07-03 06:56:48</t>
        </is>
      </c>
      <c r="C14" s="10" t="inlineStr">
        <is>
          <t>6566-13</t>
        </is>
      </c>
      <c r="D14" s="10" t="n"/>
      <c r="E14" s="10" t="inlineStr">
        <is>
          <t>LA CIRCASIA</t>
        </is>
      </c>
      <c r="F14" s="11" t="n">
        <v>116.16</v>
      </c>
      <c r="G14" s="11" t="n">
        <v>96.8</v>
      </c>
      <c r="H14" s="12" t="n"/>
      <c r="I14" s="11" t="n">
        <v>92.90000000000001</v>
      </c>
      <c r="J14" s="11" t="n">
        <v>14</v>
      </c>
      <c r="K14" s="11" t="n">
        <v>76</v>
      </c>
      <c r="L14" s="10" t="inlineStr">
        <is>
          <t>E</t>
        </is>
      </c>
      <c r="M14" s="11" t="n">
        <v>57.09</v>
      </c>
      <c r="N14" s="11" t="n">
        <v>55.27</v>
      </c>
      <c r="O14" s="11" t="n">
        <v>43</v>
      </c>
      <c r="P14" s="10" t="inlineStr">
        <is>
          <t>CARNES JP (PEDRO MONTOYA)</t>
        </is>
      </c>
      <c r="Q14" s="10" t="inlineStr">
        <is>
          <t>XGC579</t>
        </is>
      </c>
      <c r="R14" s="10" t="inlineStr">
        <is>
          <t>DE-7845</t>
        </is>
      </c>
      <c r="S14" s="11" t="n"/>
      <c r="T14" s="10" t="n"/>
      <c r="U14" s="10" t="n"/>
      <c r="V14" s="10" t="n"/>
      <c r="W14" s="11" t="n"/>
      <c r="X14" s="10" t="n"/>
    </row>
    <row r="15" ht="14.25" customHeight="1" s="314">
      <c r="A15" s="9" t="inlineStr">
        <is>
          <t>2025-07-03 06:49:14</t>
        </is>
      </c>
      <c r="B15" s="9" t="inlineStr">
        <is>
          <t>2025-07-03 06:56:48</t>
        </is>
      </c>
      <c r="C15" s="10" t="inlineStr">
        <is>
          <t>6566-14</t>
        </is>
      </c>
      <c r="D15" s="10" t="n"/>
      <c r="E15" s="10" t="inlineStr">
        <is>
          <t>LA CIRCASIA</t>
        </is>
      </c>
      <c r="F15" s="11" t="n">
        <v>108.72</v>
      </c>
      <c r="G15" s="11" t="n">
        <v>90.59999999999999</v>
      </c>
      <c r="H15" s="12" t="n"/>
      <c r="I15" s="11" t="n">
        <v>86.90000000000001</v>
      </c>
      <c r="J15" s="11" t="n">
        <v>16</v>
      </c>
      <c r="K15" s="11" t="n">
        <v>75.59999999999999</v>
      </c>
      <c r="L15" s="10" t="inlineStr">
        <is>
          <t>E</t>
        </is>
      </c>
      <c r="M15" s="11" t="n">
        <v>55.69</v>
      </c>
      <c r="N15" s="11" t="n">
        <v>50.46</v>
      </c>
      <c r="O15" s="11" t="n">
        <v>43</v>
      </c>
      <c r="P15" s="10" t="inlineStr">
        <is>
          <t>CARNES JP (PEDRO MONTOYA)</t>
        </is>
      </c>
      <c r="Q15" s="10" t="inlineStr">
        <is>
          <t>XGC579</t>
        </is>
      </c>
      <c r="R15" s="10" t="inlineStr">
        <is>
          <t>DE-7845</t>
        </is>
      </c>
      <c r="S15" s="11" t="n"/>
      <c r="T15" s="10" t="n"/>
      <c r="U15" s="10" t="n"/>
      <c r="V15" s="10" t="n"/>
      <c r="W15" s="11" t="n"/>
      <c r="X15" s="10" t="n"/>
    </row>
    <row r="16" ht="14.25" customHeight="1" s="314">
      <c r="A16" s="9" t="inlineStr">
        <is>
          <t>2025-07-03 06:49:14</t>
        </is>
      </c>
      <c r="B16" s="9" t="inlineStr">
        <is>
          <t>2025-07-03 06:56:48</t>
        </is>
      </c>
      <c r="C16" s="10" t="inlineStr">
        <is>
          <t>6566-15</t>
        </is>
      </c>
      <c r="D16" s="10" t="n"/>
      <c r="E16" s="10" t="inlineStr">
        <is>
          <t>LA CIRCASIA</t>
        </is>
      </c>
      <c r="F16" s="11" t="n">
        <v>112.8</v>
      </c>
      <c r="G16" s="11" t="n">
        <v>94</v>
      </c>
      <c r="H16" s="12" t="n"/>
      <c r="I16" s="11" t="n">
        <v>90.2</v>
      </c>
      <c r="J16" s="11" t="n">
        <v>13.2</v>
      </c>
      <c r="K16" s="11" t="n">
        <v>76.8</v>
      </c>
      <c r="L16" s="10" t="inlineStr">
        <is>
          <t>E</t>
        </is>
      </c>
      <c r="M16" s="11" t="n">
        <v>57.74</v>
      </c>
      <c r="N16" s="11" t="n">
        <v>54.28</v>
      </c>
      <c r="O16" s="11" t="n">
        <v>43</v>
      </c>
      <c r="P16" s="10" t="inlineStr">
        <is>
          <t>CARNES JP (PEDRO MONTOYA)</t>
        </is>
      </c>
      <c r="Q16" s="10" t="inlineStr">
        <is>
          <t>XGC579</t>
        </is>
      </c>
      <c r="R16" s="10" t="inlineStr">
        <is>
          <t>DE-7845</t>
        </is>
      </c>
      <c r="S16" s="11" t="n"/>
      <c r="T16" s="10" t="n"/>
      <c r="U16" s="10" t="n"/>
      <c r="V16" s="10" t="n"/>
      <c r="W16" s="11" t="n"/>
      <c r="X16" s="10" t="n"/>
    </row>
    <row r="17" ht="14.25" customHeight="1" s="314">
      <c r="A17" s="9" t="inlineStr">
        <is>
          <t>2025-07-03 06:49:14</t>
        </is>
      </c>
      <c r="B17" s="9" t="inlineStr">
        <is>
          <t>2025-07-03 06:56:48</t>
        </is>
      </c>
      <c r="C17" s="10" t="inlineStr">
        <is>
          <t>6566-16</t>
        </is>
      </c>
      <c r="D17" s="10" t="n"/>
      <c r="E17" s="10" t="inlineStr">
        <is>
          <t>LA CIRCASIA</t>
        </is>
      </c>
      <c r="F17" s="11" t="n">
        <v>120.48</v>
      </c>
      <c r="G17" s="11" t="n">
        <v>100.4</v>
      </c>
      <c r="H17" s="12" t="n"/>
      <c r="I17" s="11" t="n">
        <v>96</v>
      </c>
      <c r="J17" s="11" t="n">
        <v>12.8</v>
      </c>
      <c r="K17" s="11" t="n">
        <v>75.2</v>
      </c>
      <c r="L17" s="10" t="inlineStr">
        <is>
          <t>E</t>
        </is>
      </c>
      <c r="M17" s="11" t="n">
        <v>57.79</v>
      </c>
      <c r="N17" s="11" t="n">
        <v>58.03</v>
      </c>
      <c r="O17" s="11" t="n">
        <v>44</v>
      </c>
      <c r="P17" s="10" t="inlineStr">
        <is>
          <t>CARNES JP (PEDRO MONTOYA)</t>
        </is>
      </c>
      <c r="Q17" s="10" t="inlineStr">
        <is>
          <t>XGC579</t>
        </is>
      </c>
      <c r="R17" s="10" t="inlineStr">
        <is>
          <t>DE-7845</t>
        </is>
      </c>
      <c r="S17" s="11" t="n"/>
      <c r="T17" s="10" t="n"/>
      <c r="U17" s="10" t="n"/>
      <c r="V17" s="10" t="n"/>
      <c r="W17" s="11" t="n"/>
      <c r="X17" s="10" t="n"/>
    </row>
    <row r="18" ht="14.25" customHeight="1" s="314">
      <c r="A18" s="9" t="inlineStr">
        <is>
          <t>2025-07-03 06:49:14</t>
        </is>
      </c>
      <c r="B18" s="9" t="inlineStr">
        <is>
          <t>2025-07-03 06:56:48</t>
        </is>
      </c>
      <c r="C18" s="10" t="inlineStr">
        <is>
          <t>6566-17</t>
        </is>
      </c>
      <c r="D18" s="10" t="n"/>
      <c r="E18" s="10" t="inlineStr">
        <is>
          <t>LA CIRCASIA</t>
        </is>
      </c>
      <c r="F18" s="11" t="n">
        <v>113.04</v>
      </c>
      <c r="G18" s="11" t="n">
        <v>94.2</v>
      </c>
      <c r="H18" s="12" t="n"/>
      <c r="I18" s="11" t="n">
        <v>89.8</v>
      </c>
      <c r="J18" s="11" t="n">
        <v>22</v>
      </c>
      <c r="K18" s="11" t="n">
        <v>71.59999999999999</v>
      </c>
      <c r="L18" s="10" t="inlineStr">
        <is>
          <t>U</t>
        </is>
      </c>
      <c r="M18" s="11" t="n">
        <v>51.11</v>
      </c>
      <c r="N18" s="11" t="n">
        <v>48.14</v>
      </c>
      <c r="O18" s="11" t="n">
        <v>41</v>
      </c>
      <c r="P18" s="10" t="inlineStr">
        <is>
          <t>CARNES JP (PEDRO MONTOYA)</t>
        </is>
      </c>
      <c r="Q18" s="10" t="inlineStr">
        <is>
          <t>XGC579</t>
        </is>
      </c>
      <c r="R18" s="10" t="inlineStr">
        <is>
          <t>DE-7845</t>
        </is>
      </c>
      <c r="S18" s="11" t="n"/>
      <c r="T18" s="10" t="n"/>
      <c r="U18" s="10" t="n"/>
      <c r="V18" s="10" t="n"/>
      <c r="W18" s="11" t="n"/>
      <c r="X18" s="10" t="n"/>
    </row>
    <row r="19" ht="14.25" customHeight="1" s="314">
      <c r="A19" s="9" t="inlineStr">
        <is>
          <t>2025-07-03 06:49:14</t>
        </is>
      </c>
      <c r="B19" s="9" t="inlineStr">
        <is>
          <t>2025-07-03 06:56:48</t>
        </is>
      </c>
      <c r="C19" s="10" t="inlineStr">
        <is>
          <t>6566-18</t>
        </is>
      </c>
      <c r="D19" s="10" t="n"/>
      <c r="E19" s="10" t="inlineStr">
        <is>
          <t>LA CIRCASIA</t>
        </is>
      </c>
      <c r="F19" s="11" t="n">
        <v>108.96</v>
      </c>
      <c r="G19" s="11" t="n">
        <v>90.8</v>
      </c>
      <c r="H19" s="12" t="n"/>
      <c r="I19" s="11" t="n">
        <v>87</v>
      </c>
      <c r="J19" s="11" t="n">
        <v>12.4</v>
      </c>
      <c r="K19" s="11" t="n">
        <v>65.59999999999999</v>
      </c>
      <c r="L19" s="10" t="inlineStr">
        <is>
          <t>E</t>
        </is>
      </c>
      <c r="M19" s="11" t="n">
        <v>56.77</v>
      </c>
      <c r="N19" s="11" t="n">
        <v>51.55</v>
      </c>
      <c r="O19" s="11" t="n">
        <v>47</v>
      </c>
      <c r="P19" s="10" t="inlineStr">
        <is>
          <t>CARNES JP (PEDRO MONTOYA)</t>
        </is>
      </c>
      <c r="Q19" s="10" t="inlineStr">
        <is>
          <t>XGC579</t>
        </is>
      </c>
      <c r="R19" s="10" t="inlineStr">
        <is>
          <t>DE-7845</t>
        </is>
      </c>
      <c r="S19" s="11" t="n"/>
      <c r="T19" s="10" t="n"/>
      <c r="U19" s="10" t="n"/>
      <c r="V19" s="10" t="n"/>
      <c r="W19" s="11" t="n"/>
      <c r="X19" s="10" t="n"/>
    </row>
    <row r="20" ht="14.25" customHeight="1" s="314">
      <c r="A20" s="9" t="inlineStr">
        <is>
          <t>2025-07-03 06:49:14</t>
        </is>
      </c>
      <c r="B20" s="9" t="inlineStr">
        <is>
          <t>2025-07-03 06:56:48</t>
        </is>
      </c>
      <c r="C20" s="10" t="inlineStr">
        <is>
          <t>6566-19</t>
        </is>
      </c>
      <c r="D20" s="10" t="n"/>
      <c r="E20" s="10" t="inlineStr">
        <is>
          <t>LA CIRCASIA</t>
        </is>
      </c>
      <c r="F20" s="11" t="n">
        <v>110.52</v>
      </c>
      <c r="G20" s="11" t="n">
        <v>92.09999999999999</v>
      </c>
      <c r="H20" s="12" t="n"/>
      <c r="I20" s="11" t="n">
        <v>87.8</v>
      </c>
      <c r="J20" s="11" t="n">
        <v>17.6</v>
      </c>
      <c r="K20" s="11" t="n">
        <v>62</v>
      </c>
      <c r="L20" s="10" t="inlineStr">
        <is>
          <t>U</t>
        </is>
      </c>
      <c r="M20" s="11" t="n">
        <v>52.78</v>
      </c>
      <c r="N20" s="11" t="n">
        <v>48.61</v>
      </c>
      <c r="O20" s="11" t="n">
        <v>48</v>
      </c>
      <c r="P20" s="10" t="inlineStr">
        <is>
          <t>CARNES JP (PEDRO MONTOYA)</t>
        </is>
      </c>
      <c r="Q20" s="10" t="inlineStr">
        <is>
          <t>XGC579</t>
        </is>
      </c>
      <c r="R20" s="10" t="inlineStr">
        <is>
          <t>DE-7845</t>
        </is>
      </c>
      <c r="S20" s="11" t="n"/>
      <c r="T20" s="10" t="n"/>
      <c r="U20" s="10" t="n"/>
      <c r="V20" s="10" t="n"/>
      <c r="W20" s="11" t="n"/>
      <c r="X20" s="10" t="n"/>
    </row>
    <row r="21" ht="14.25" customHeight="1" s="314">
      <c r="A21" s="9" t="inlineStr">
        <is>
          <t>2025-07-03 06:49:14</t>
        </is>
      </c>
      <c r="B21" s="9" t="inlineStr">
        <is>
          <t>2025-07-03 06:56:48</t>
        </is>
      </c>
      <c r="C21" s="10" t="inlineStr">
        <is>
          <t>6566-20</t>
        </is>
      </c>
      <c r="D21" s="10" t="n"/>
      <c r="E21" s="10" t="inlineStr">
        <is>
          <t>LA CIRCASIA</t>
        </is>
      </c>
      <c r="F21" s="11" t="n">
        <v>115.8</v>
      </c>
      <c r="G21" s="11" t="n">
        <v>96.5</v>
      </c>
      <c r="H21" s="12" t="n"/>
      <c r="I21" s="11" t="n">
        <v>91.40000000000001</v>
      </c>
      <c r="J21" s="11" t="n">
        <v>14.8</v>
      </c>
      <c r="K21" s="11" t="n">
        <v>82.8</v>
      </c>
      <c r="L21" s="10" t="inlineStr">
        <is>
          <t>E</t>
        </is>
      </c>
      <c r="M21" s="11" t="n">
        <v>57.47</v>
      </c>
      <c r="N21" s="11" t="n">
        <v>55.46</v>
      </c>
      <c r="O21" s="11" t="n">
        <v>42</v>
      </c>
      <c r="P21" s="10" t="inlineStr">
        <is>
          <t>CARNES JP (PEDRO MONTOYA)</t>
        </is>
      </c>
      <c r="Q21" s="10" t="inlineStr">
        <is>
          <t>XGC579</t>
        </is>
      </c>
      <c r="R21" s="10" t="inlineStr">
        <is>
          <t>DE-7845</t>
        </is>
      </c>
      <c r="S21" s="11" t="n"/>
      <c r="T21" s="10" t="n"/>
      <c r="U21" s="10" t="n"/>
      <c r="V21" s="10" t="n"/>
      <c r="W21" s="11" t="n"/>
      <c r="X21" s="10" t="n"/>
    </row>
    <row r="22" ht="14.25" customHeight="1" s="314">
      <c r="A22" s="13" t="inlineStr">
        <is>
          <t>2025-07-03 06:49:14</t>
        </is>
      </c>
      <c r="B22" s="13" t="inlineStr">
        <is>
          <t>2025-07-03 06:56:48</t>
        </is>
      </c>
      <c r="C22" s="8" t="inlineStr">
        <is>
          <t>6566-21</t>
        </is>
      </c>
      <c r="E22" s="8" t="inlineStr">
        <is>
          <t>LA CIRCASIA</t>
        </is>
      </c>
      <c r="F22" s="8" t="n">
        <v>116.4</v>
      </c>
      <c r="G22" s="8" t="n">
        <v>97</v>
      </c>
      <c r="I22" s="8" t="n">
        <v>93.5</v>
      </c>
      <c r="J22" s="8" t="n">
        <v>15.6</v>
      </c>
      <c r="K22" s="8" t="n">
        <v>74.8</v>
      </c>
      <c r="L22" s="8" t="inlineStr">
        <is>
          <t>E</t>
        </is>
      </c>
      <c r="M22" s="8" t="n">
        <v>55.85</v>
      </c>
      <c r="N22" s="8" t="n">
        <v>54.18</v>
      </c>
      <c r="O22" s="8" t="n">
        <v>48</v>
      </c>
      <c r="P22" s="8" t="inlineStr">
        <is>
          <t>CARNES JP (PEDRO MONTOYA)</t>
        </is>
      </c>
      <c r="Q22" s="8" t="inlineStr">
        <is>
          <t>XGC579</t>
        </is>
      </c>
      <c r="R22" s="8" t="inlineStr">
        <is>
          <t>DE-7845</t>
        </is>
      </c>
    </row>
    <row r="23" ht="14.25" customHeight="1" s="314">
      <c r="A23" s="13" t="inlineStr">
        <is>
          <t>2025-07-03 06:49:14</t>
        </is>
      </c>
      <c r="B23" s="13" t="inlineStr">
        <is>
          <t>2025-07-03 06:56:48</t>
        </is>
      </c>
      <c r="C23" s="8" t="inlineStr">
        <is>
          <t>6566-22</t>
        </is>
      </c>
      <c r="E23" s="8" t="inlineStr">
        <is>
          <t>LA CIRCASIA</t>
        </is>
      </c>
      <c r="F23" s="8" t="n">
        <v>112.68</v>
      </c>
      <c r="G23" s="8" t="n">
        <v>93.90000000000001</v>
      </c>
      <c r="I23" s="8" t="n">
        <v>90.40000000000001</v>
      </c>
      <c r="J23" s="8" t="n">
        <v>16.8</v>
      </c>
      <c r="K23" s="8" t="n">
        <v>69.2</v>
      </c>
      <c r="L23" s="8" t="inlineStr">
        <is>
          <t>E</t>
        </is>
      </c>
      <c r="M23" s="8" t="n">
        <v>54.29</v>
      </c>
      <c r="N23" s="8" t="n">
        <v>50.98</v>
      </c>
      <c r="O23" s="8" t="n">
        <v>40</v>
      </c>
      <c r="P23" s="8" t="inlineStr">
        <is>
          <t>CARNES JP (PEDRO MONTOYA)</t>
        </is>
      </c>
      <c r="Q23" s="8" t="inlineStr">
        <is>
          <t>XGC579</t>
        </is>
      </c>
      <c r="R23" s="8" t="inlineStr">
        <is>
          <t>DE-7845</t>
        </is>
      </c>
    </row>
    <row r="24" ht="14.25" customHeight="1" s="314">
      <c r="A24" s="13" t="inlineStr">
        <is>
          <t>2025-07-03 06:49:14</t>
        </is>
      </c>
      <c r="B24" s="13" t="inlineStr">
        <is>
          <t>2025-07-03 06:56:48</t>
        </is>
      </c>
      <c r="C24" s="8" t="inlineStr">
        <is>
          <t>6566-23</t>
        </is>
      </c>
      <c r="E24" s="8" t="inlineStr">
        <is>
          <t>LA CIRCASIA</t>
        </is>
      </c>
      <c r="F24" s="8" t="n">
        <v>112.56</v>
      </c>
      <c r="G24" s="8" t="n">
        <v>93.8</v>
      </c>
      <c r="I24" s="8" t="n">
        <v>90.2</v>
      </c>
      <c r="J24" s="8" t="n">
        <v>18.4</v>
      </c>
      <c r="K24" s="8" t="n">
        <v>73.59999999999999</v>
      </c>
      <c r="L24" s="8" t="inlineStr">
        <is>
          <t>E</t>
        </is>
      </c>
      <c r="M24" s="8" t="n">
        <v>53.8</v>
      </c>
      <c r="N24" s="8" t="n">
        <v>50.47</v>
      </c>
      <c r="O24" s="8" t="n">
        <v>48</v>
      </c>
      <c r="P24" s="8" t="inlineStr">
        <is>
          <t>CARNES JP (PEDRO MONTOYA)</t>
        </is>
      </c>
      <c r="Q24" s="8" t="inlineStr">
        <is>
          <t>XGC579</t>
        </is>
      </c>
      <c r="R24" s="8" t="inlineStr">
        <is>
          <t>DE-7845</t>
        </is>
      </c>
    </row>
    <row r="25" ht="14.25" customHeight="1" s="314">
      <c r="A25" s="13" t="inlineStr">
        <is>
          <t>2025-07-03 06:49:14</t>
        </is>
      </c>
      <c r="B25" s="13" t="inlineStr">
        <is>
          <t>2025-07-03 06:56:48</t>
        </is>
      </c>
      <c r="C25" s="8" t="inlineStr">
        <is>
          <t>6566-24</t>
        </is>
      </c>
      <c r="E25" s="8" t="inlineStr">
        <is>
          <t>LA CIRCASIA</t>
        </is>
      </c>
      <c r="F25" s="8" t="n">
        <v>112.68</v>
      </c>
      <c r="G25" s="8" t="n">
        <v>93.90000000000001</v>
      </c>
      <c r="I25" s="8" t="n">
        <v>90.40000000000001</v>
      </c>
      <c r="J25" s="8" t="n">
        <v>12.8</v>
      </c>
      <c r="K25" s="8" t="n">
        <v>76.40000000000001</v>
      </c>
      <c r="L25" s="8" t="inlineStr">
        <is>
          <t>S</t>
        </is>
      </c>
      <c r="M25" s="8" t="n">
        <v>57.96</v>
      </c>
      <c r="N25" s="8" t="n">
        <v>54.42</v>
      </c>
      <c r="O25" s="8" t="n">
        <v>43</v>
      </c>
      <c r="P25" s="8" t="inlineStr">
        <is>
          <t>CARNES JP (PEDRO MONTOYA)</t>
        </is>
      </c>
      <c r="Q25" s="8" t="inlineStr">
        <is>
          <t>XGC579</t>
        </is>
      </c>
      <c r="R25" s="8" t="inlineStr">
        <is>
          <t>DE-7845</t>
        </is>
      </c>
    </row>
    <row r="26" ht="14.25" customHeight="1" s="314">
      <c r="A26" s="13" t="inlineStr">
        <is>
          <t>2025-07-03 06:49:14</t>
        </is>
      </c>
      <c r="B26" s="13" t="inlineStr">
        <is>
          <t>2025-07-03 06:56:48</t>
        </is>
      </c>
      <c r="C26" s="8" t="inlineStr">
        <is>
          <t>6566-25</t>
        </is>
      </c>
      <c r="E26" s="8" t="inlineStr">
        <is>
          <t>LA CIRCASIA</t>
        </is>
      </c>
      <c r="F26" s="8" t="n">
        <v>115.8</v>
      </c>
      <c r="G26" s="8" t="n">
        <v>96.5</v>
      </c>
      <c r="I26" s="8" t="n">
        <v>92.5</v>
      </c>
      <c r="J26" s="8" t="n">
        <v>18.4</v>
      </c>
      <c r="K26" s="8" t="n">
        <v>72.8</v>
      </c>
      <c r="L26" s="8" t="inlineStr">
        <is>
          <t>E</t>
        </is>
      </c>
      <c r="M26" s="8" t="n">
        <v>53.7</v>
      </c>
      <c r="N26" s="8" t="n">
        <v>51.82</v>
      </c>
      <c r="O26" s="8" t="n">
        <v>39</v>
      </c>
      <c r="P26" s="8" t="inlineStr">
        <is>
          <t>CARNES JP (PEDRO MONTOYA)</t>
        </is>
      </c>
      <c r="Q26" s="8" t="inlineStr">
        <is>
          <t>XGC579</t>
        </is>
      </c>
      <c r="R26" s="8" t="inlineStr">
        <is>
          <t>DE-7845</t>
        </is>
      </c>
    </row>
    <row r="27" ht="14.25" customHeight="1" s="314">
      <c r="A27" s="13" t="inlineStr">
        <is>
          <t>2025-07-03 06:49:14</t>
        </is>
      </c>
      <c r="B27" s="13" t="inlineStr">
        <is>
          <t>2025-07-03 06:56:48</t>
        </is>
      </c>
      <c r="C27" s="8" t="inlineStr">
        <is>
          <t>6566-26</t>
        </is>
      </c>
      <c r="E27" s="8" t="inlineStr">
        <is>
          <t>LA CIRCASIA</t>
        </is>
      </c>
      <c r="F27" s="8" t="n">
        <v>109.92</v>
      </c>
      <c r="G27" s="8" t="n">
        <v>91.59999999999999</v>
      </c>
      <c r="I27" s="8" t="n">
        <v>88.3</v>
      </c>
      <c r="J27" s="8" t="n">
        <v>14.4</v>
      </c>
      <c r="K27" s="8" t="n">
        <v>65.2</v>
      </c>
      <c r="L27" s="8" t="inlineStr">
        <is>
          <t>E</t>
        </is>
      </c>
      <c r="M27" s="8" t="n">
        <v>55.37</v>
      </c>
      <c r="N27" s="8" t="n">
        <v>50.72</v>
      </c>
      <c r="O27" s="8" t="n">
        <v>41</v>
      </c>
      <c r="P27" s="8" t="inlineStr">
        <is>
          <t>CARNES JP (PEDRO MONTOYA)</t>
        </is>
      </c>
      <c r="Q27" s="8" t="inlineStr">
        <is>
          <t>XGC579</t>
        </is>
      </c>
      <c r="R27" s="8" t="inlineStr">
        <is>
          <t>DE-7845</t>
        </is>
      </c>
    </row>
    <row r="28" ht="14.25" customHeight="1" s="314">
      <c r="A28" s="13" t="inlineStr">
        <is>
          <t>2025-07-03 06:49:14</t>
        </is>
      </c>
      <c r="B28" s="13" t="inlineStr">
        <is>
          <t>2025-07-03 06:56:48</t>
        </is>
      </c>
      <c r="C28" s="8" t="inlineStr">
        <is>
          <t>6566-27</t>
        </is>
      </c>
      <c r="E28" s="8" t="inlineStr">
        <is>
          <t>LA CIRCASIA</t>
        </is>
      </c>
      <c r="F28" s="8" t="n">
        <v>107.52</v>
      </c>
      <c r="G28" s="8" t="n">
        <v>89.59999999999999</v>
      </c>
      <c r="I28" s="8" t="n">
        <v>85.90000000000001</v>
      </c>
      <c r="J28" s="8" t="n">
        <v>13.6</v>
      </c>
      <c r="K28" s="8" t="n">
        <v>68.8</v>
      </c>
      <c r="L28" s="8" t="inlineStr">
        <is>
          <t>E</t>
        </is>
      </c>
      <c r="M28" s="8" t="n">
        <v>56.39</v>
      </c>
      <c r="N28" s="8" t="n">
        <v>50.53</v>
      </c>
      <c r="O28" s="8" t="n">
        <v>44</v>
      </c>
      <c r="P28" s="8" t="inlineStr">
        <is>
          <t>CARNES JP (PEDRO MONTOYA)</t>
        </is>
      </c>
      <c r="Q28" s="8" t="inlineStr">
        <is>
          <t>XGC579</t>
        </is>
      </c>
      <c r="R28" s="8" t="inlineStr">
        <is>
          <t>DE-7845</t>
        </is>
      </c>
    </row>
    <row r="29" ht="14.25" customHeight="1" s="314">
      <c r="A29" s="13" t="inlineStr">
        <is>
          <t>2025-07-03 06:49:14</t>
        </is>
      </c>
      <c r="B29" s="13" t="inlineStr">
        <is>
          <t>2025-07-03 06:56:48</t>
        </is>
      </c>
      <c r="C29" s="8" t="inlineStr">
        <is>
          <t>6566-28</t>
        </is>
      </c>
      <c r="E29" s="8" t="inlineStr">
        <is>
          <t>LA CIRCASIA</t>
        </is>
      </c>
      <c r="F29" s="8" t="n">
        <v>124.44</v>
      </c>
      <c r="G29" s="8" t="n">
        <v>103.7</v>
      </c>
      <c r="I29" s="8" t="n">
        <v>99.90000000000001</v>
      </c>
      <c r="J29" s="8" t="n">
        <v>16</v>
      </c>
      <c r="K29" s="8" t="n">
        <v>80</v>
      </c>
      <c r="L29" s="8" t="inlineStr">
        <is>
          <t>E</t>
        </is>
      </c>
      <c r="M29" s="8" t="n">
        <v>56.29</v>
      </c>
      <c r="N29" s="8" t="n">
        <v>58.37</v>
      </c>
      <c r="O29" s="8" t="n">
        <v>47</v>
      </c>
      <c r="P29" s="8" t="inlineStr">
        <is>
          <t>CARNES JP (PEDRO MONTOYA)</t>
        </is>
      </c>
      <c r="Q29" s="8" t="inlineStr">
        <is>
          <t>XGC579</t>
        </is>
      </c>
      <c r="R29" s="8" t="inlineStr">
        <is>
          <t>DE-7845</t>
        </is>
      </c>
    </row>
    <row r="30" ht="14.25" customHeight="1" s="314">
      <c r="A30" s="13" t="inlineStr">
        <is>
          <t>2025-07-03 06:49:14</t>
        </is>
      </c>
      <c r="B30" s="13" t="inlineStr">
        <is>
          <t>2025-07-03 06:56:48</t>
        </is>
      </c>
      <c r="C30" s="8" t="inlineStr">
        <is>
          <t>6566-29</t>
        </is>
      </c>
      <c r="E30" s="8" t="inlineStr">
        <is>
          <t>LA CIRCASIA</t>
        </is>
      </c>
      <c r="F30" s="8" t="n">
        <v>112.68</v>
      </c>
      <c r="G30" s="8" t="n">
        <v>93.90000000000001</v>
      </c>
      <c r="I30" s="8" t="n">
        <v>90.59999999999999</v>
      </c>
      <c r="J30" s="8" t="n">
        <v>16.4</v>
      </c>
      <c r="K30" s="8" t="n">
        <v>73.59999999999999</v>
      </c>
      <c r="L30" s="8" t="inlineStr">
        <is>
          <t>E</t>
        </is>
      </c>
      <c r="M30" s="8" t="n">
        <v>55.15</v>
      </c>
      <c r="N30" s="8" t="n">
        <v>51.79</v>
      </c>
      <c r="O30" s="8" t="n">
        <v>46</v>
      </c>
      <c r="P30" s="8" t="inlineStr">
        <is>
          <t>CARNES JP (PEDRO MONTOYA)</t>
        </is>
      </c>
      <c r="Q30" s="8" t="inlineStr">
        <is>
          <t>XGC579</t>
        </is>
      </c>
      <c r="R30" s="8" t="inlineStr">
        <is>
          <t>DE-7845</t>
        </is>
      </c>
    </row>
    <row r="31" ht="14.25" customHeight="1" s="314">
      <c r="A31" s="13" t="inlineStr">
        <is>
          <t>2025-07-03 06:49:14</t>
        </is>
      </c>
      <c r="B31" s="13" t="inlineStr">
        <is>
          <t>2025-07-03 06:56:48</t>
        </is>
      </c>
      <c r="C31" s="8" t="inlineStr">
        <is>
          <t>6566-30</t>
        </is>
      </c>
      <c r="E31" s="8" t="inlineStr">
        <is>
          <t>LA CIRCASIA</t>
        </is>
      </c>
      <c r="F31" s="8" t="n">
        <v>114.48</v>
      </c>
      <c r="G31" s="8" t="n">
        <v>95.40000000000001</v>
      </c>
      <c r="I31" s="8" t="n">
        <v>91.59999999999999</v>
      </c>
      <c r="J31" s="8" t="n">
        <v>15.2</v>
      </c>
      <c r="K31" s="8" t="n">
        <v>46.4</v>
      </c>
      <c r="L31" s="8" t="inlineStr">
        <is>
          <t>U</t>
        </is>
      </c>
      <c r="M31" s="8" t="n">
        <v>52.29</v>
      </c>
      <c r="N31" s="8" t="n">
        <v>49.89</v>
      </c>
      <c r="O31" s="8" t="n">
        <v>47</v>
      </c>
      <c r="P31" s="8" t="inlineStr">
        <is>
          <t>CARNES JP (PEDRO MONTOYA)</t>
        </is>
      </c>
      <c r="Q31" s="8" t="inlineStr">
        <is>
          <t>XGC579</t>
        </is>
      </c>
      <c r="R31" s="8" t="inlineStr">
        <is>
          <t>DE-7845</t>
        </is>
      </c>
    </row>
    <row r="32" ht="14.25" customHeight="1" s="314">
      <c r="A32" s="13" t="inlineStr">
        <is>
          <t>2025-07-03 06:49:14</t>
        </is>
      </c>
      <c r="B32" s="13" t="inlineStr">
        <is>
          <t>2025-07-03 06:56:48</t>
        </is>
      </c>
      <c r="C32" s="8" t="inlineStr">
        <is>
          <t>6566-31</t>
        </is>
      </c>
      <c r="E32" s="8" t="inlineStr">
        <is>
          <t>LA CIRCASIA</t>
        </is>
      </c>
      <c r="F32" s="8" t="n">
        <v>114.48</v>
      </c>
      <c r="G32" s="8" t="n">
        <v>95.40000000000001</v>
      </c>
      <c r="I32" s="8" t="n">
        <v>91.59999999999999</v>
      </c>
      <c r="J32" s="8" t="n">
        <v>12.4</v>
      </c>
      <c r="K32" s="8" t="n">
        <v>68.40000000000001</v>
      </c>
      <c r="L32" s="8" t="inlineStr">
        <is>
          <t>E</t>
        </is>
      </c>
      <c r="M32" s="8" t="n">
        <v>57.15</v>
      </c>
      <c r="N32" s="8" t="n">
        <v>54.52</v>
      </c>
      <c r="O32" s="8" t="n">
        <v>48</v>
      </c>
      <c r="P32" s="8" t="inlineStr">
        <is>
          <t>CARNES JP (PEDRO MONTOYA)</t>
        </is>
      </c>
      <c r="Q32" s="8" t="inlineStr">
        <is>
          <t>XGC579</t>
        </is>
      </c>
      <c r="R32" s="8" t="inlineStr">
        <is>
          <t>DE-7845</t>
        </is>
      </c>
    </row>
    <row r="33" ht="14.25" customHeight="1" s="314">
      <c r="A33" s="13" t="inlineStr">
        <is>
          <t>2025-07-03 06:49:14</t>
        </is>
      </c>
      <c r="B33" s="13" t="inlineStr">
        <is>
          <t>2025-07-03 06:56:48</t>
        </is>
      </c>
      <c r="C33" s="8" t="inlineStr">
        <is>
          <t>6566-32</t>
        </is>
      </c>
      <c r="E33" s="8" t="inlineStr">
        <is>
          <t>LA CIRCASIA</t>
        </is>
      </c>
      <c r="F33" s="8" t="n">
        <v>115.08</v>
      </c>
      <c r="G33" s="8" t="n">
        <v>95.90000000000001</v>
      </c>
      <c r="I33" s="8" t="n">
        <v>92.3</v>
      </c>
      <c r="J33" s="8" t="n">
        <v>17.2</v>
      </c>
      <c r="K33" s="8" t="n">
        <v>63.2</v>
      </c>
      <c r="L33" s="8" t="inlineStr">
        <is>
          <t>E</t>
        </is>
      </c>
      <c r="M33" s="8" t="n">
        <v>53.21</v>
      </c>
      <c r="N33" s="8" t="n">
        <v>51.03</v>
      </c>
      <c r="O33" s="8" t="n">
        <v>39</v>
      </c>
      <c r="P33" s="8" t="inlineStr">
        <is>
          <t>CARNES JP (PEDRO MONTOYA)</t>
        </is>
      </c>
      <c r="Q33" s="8" t="inlineStr">
        <is>
          <t>XGC579</t>
        </is>
      </c>
      <c r="R33" s="8" t="inlineStr">
        <is>
          <t>DE-7845</t>
        </is>
      </c>
    </row>
    <row r="34" ht="14.25" customHeight="1" s="314">
      <c r="A34" s="13" t="inlineStr">
        <is>
          <t>2025-07-03 06:49:14</t>
        </is>
      </c>
      <c r="B34" s="13" t="inlineStr">
        <is>
          <t>2025-07-03 06:56:48</t>
        </is>
      </c>
      <c r="C34" s="8" t="inlineStr">
        <is>
          <t>6566-33</t>
        </is>
      </c>
      <c r="E34" s="8" t="inlineStr">
        <is>
          <t>LA CIRCASIA</t>
        </is>
      </c>
      <c r="F34" s="8" t="n">
        <v>106.32</v>
      </c>
      <c r="G34" s="8" t="n">
        <v>88.59999999999999</v>
      </c>
      <c r="I34" s="8" t="n">
        <v>85.3</v>
      </c>
      <c r="J34" s="8" t="n">
        <v>8</v>
      </c>
      <c r="K34" s="8" t="n">
        <v>70</v>
      </c>
      <c r="L34" s="8" t="inlineStr">
        <is>
          <t>S</t>
        </is>
      </c>
      <c r="M34" s="8" t="n">
        <v>60.33</v>
      </c>
      <c r="N34" s="8" t="n">
        <v>53.45</v>
      </c>
      <c r="O34" s="8" t="n">
        <v>46</v>
      </c>
      <c r="P34" s="8" t="inlineStr">
        <is>
          <t>CARNES JP (PEDRO MONTOYA)</t>
        </is>
      </c>
      <c r="Q34" s="8" t="inlineStr">
        <is>
          <t>XGC579</t>
        </is>
      </c>
      <c r="R34" s="8" t="inlineStr">
        <is>
          <t>DE-7845</t>
        </is>
      </c>
    </row>
    <row r="35" ht="14.25" customHeight="1" s="314">
      <c r="A35" s="13" t="inlineStr">
        <is>
          <t>2025-07-03 06:49:14</t>
        </is>
      </c>
      <c r="B35" s="13" t="inlineStr">
        <is>
          <t>2025-07-03 06:56:48</t>
        </is>
      </c>
      <c r="C35" s="8" t="inlineStr">
        <is>
          <t>6566-34</t>
        </is>
      </c>
      <c r="E35" s="8" t="inlineStr">
        <is>
          <t>LA CIRCASIA</t>
        </is>
      </c>
      <c r="F35" s="8" t="n">
        <v>106.92</v>
      </c>
      <c r="G35" s="8" t="n">
        <v>89.09999999999999</v>
      </c>
      <c r="I35" s="8" t="n">
        <v>90.3</v>
      </c>
      <c r="P35" s="8" t="inlineStr">
        <is>
          <t>CARNES JP (PEDRO MONTOYA)</t>
        </is>
      </c>
      <c r="Q35" s="8" t="inlineStr">
        <is>
          <t>XGC579</t>
        </is>
      </c>
      <c r="R35" s="8" t="inlineStr">
        <is>
          <t>DE-7845</t>
        </is>
      </c>
    </row>
    <row r="36" ht="14.25" customHeight="1" s="314">
      <c r="A36" s="13" t="inlineStr">
        <is>
          <t>2025-07-03 06:49:14</t>
        </is>
      </c>
      <c r="B36" s="13" t="inlineStr">
        <is>
          <t>2025-07-03 06:56:48</t>
        </is>
      </c>
      <c r="C36" s="8" t="inlineStr">
        <is>
          <t>6566-35</t>
        </is>
      </c>
      <c r="E36" s="8" t="inlineStr">
        <is>
          <t>LA CIRCASIA</t>
        </is>
      </c>
      <c r="F36" s="8" t="n">
        <v>116.76</v>
      </c>
      <c r="G36" s="8" t="n">
        <v>97.3</v>
      </c>
      <c r="I36" s="8" t="n">
        <v>93.3</v>
      </c>
      <c r="J36" s="8" t="n">
        <v>20.4</v>
      </c>
      <c r="K36" s="8" t="n">
        <v>75.2</v>
      </c>
      <c r="L36" s="8" t="inlineStr">
        <is>
          <t>U</t>
        </is>
      </c>
      <c r="M36" s="8" t="n">
        <v>52.67</v>
      </c>
      <c r="N36" s="8" t="n">
        <v>51.25</v>
      </c>
      <c r="O36" s="8" t="n">
        <v>49</v>
      </c>
      <c r="P36" s="8" t="inlineStr">
        <is>
          <t>CARNES JP (PEDRO MONTOYA)</t>
        </is>
      </c>
      <c r="Q36" s="8" t="inlineStr">
        <is>
          <t>XGC579</t>
        </is>
      </c>
      <c r="R36" s="8" t="inlineStr">
        <is>
          <t>DE-7845</t>
        </is>
      </c>
    </row>
    <row r="37" ht="14.25" customHeight="1" s="314">
      <c r="A37" s="13" t="inlineStr">
        <is>
          <t>2025-07-03 06:49:14</t>
        </is>
      </c>
      <c r="B37" s="13" t="inlineStr">
        <is>
          <t>2025-07-03 06:56:48</t>
        </is>
      </c>
      <c r="C37" s="8" t="inlineStr">
        <is>
          <t>6566-36</t>
        </is>
      </c>
      <c r="E37" s="8" t="inlineStr">
        <is>
          <t>LA CIRCASIA</t>
        </is>
      </c>
      <c r="F37" s="8" t="n">
        <v>110.76</v>
      </c>
      <c r="G37" s="8" t="n">
        <v>92.3</v>
      </c>
      <c r="I37" s="8" t="n">
        <v>89.09999999999999</v>
      </c>
      <c r="J37" s="8" t="n">
        <v>19.6</v>
      </c>
      <c r="K37" s="8" t="n">
        <v>68.8</v>
      </c>
      <c r="L37" s="8" t="inlineStr">
        <is>
          <t>U</t>
        </is>
      </c>
      <c r="M37" s="8" t="n">
        <v>52.35</v>
      </c>
      <c r="N37" s="8" t="n">
        <v>48.32</v>
      </c>
      <c r="O37" s="8" t="n">
        <v>44</v>
      </c>
      <c r="P37" s="8" t="inlineStr">
        <is>
          <t>CARNES JP (PEDRO MONTOYA)</t>
        </is>
      </c>
      <c r="Q37" s="8" t="inlineStr">
        <is>
          <t>XGC579</t>
        </is>
      </c>
      <c r="R37" s="8" t="inlineStr">
        <is>
          <t>DE-7845</t>
        </is>
      </c>
    </row>
    <row r="38" ht="14.25" customHeight="1" s="314">
      <c r="A38" s="13" t="inlineStr">
        <is>
          <t>2025-07-03 06:49:14</t>
        </is>
      </c>
      <c r="B38" s="13" t="inlineStr">
        <is>
          <t>2025-07-03 06:56:48</t>
        </is>
      </c>
      <c r="C38" s="8" t="inlineStr">
        <is>
          <t>6566-37</t>
        </is>
      </c>
      <c r="E38" s="8" t="inlineStr">
        <is>
          <t>LA CIRCASIA</t>
        </is>
      </c>
      <c r="F38" s="8" t="n">
        <v>97.31999999999999</v>
      </c>
      <c r="G38" s="8" t="n">
        <v>81.09999999999999</v>
      </c>
      <c r="I38" s="8" t="n">
        <v>77.90000000000001</v>
      </c>
      <c r="J38" s="8" t="n">
        <v>14.4</v>
      </c>
      <c r="K38" s="8" t="n">
        <v>71.59999999999999</v>
      </c>
      <c r="L38" s="8" t="inlineStr">
        <is>
          <t>E</t>
        </is>
      </c>
      <c r="M38" s="8" t="n">
        <v>56.23</v>
      </c>
      <c r="N38" s="8" t="n">
        <v>45.6</v>
      </c>
      <c r="O38" s="8" t="n">
        <v>43</v>
      </c>
      <c r="P38" s="8" t="inlineStr">
        <is>
          <t>CARNES JP (PEDRO MONTOYA)</t>
        </is>
      </c>
      <c r="Q38" s="8" t="inlineStr">
        <is>
          <t>XGC579</t>
        </is>
      </c>
      <c r="R38" s="8" t="inlineStr">
        <is>
          <t>DE-7845</t>
        </is>
      </c>
    </row>
    <row r="39" ht="14.25" customHeight="1" s="314">
      <c r="A39" s="13" t="inlineStr">
        <is>
          <t>2025-07-03 06:49:14</t>
        </is>
      </c>
      <c r="B39" s="13" t="inlineStr">
        <is>
          <t>2025-07-03 06:56:48</t>
        </is>
      </c>
      <c r="C39" s="8" t="inlineStr">
        <is>
          <t>6566-38</t>
        </is>
      </c>
      <c r="E39" s="8" t="inlineStr">
        <is>
          <t>LA CIRCASIA</t>
        </is>
      </c>
      <c r="F39" s="8" t="n">
        <v>111.48</v>
      </c>
      <c r="G39" s="8" t="n">
        <v>92.90000000000001</v>
      </c>
      <c r="I39" s="8" t="n">
        <v>89.2</v>
      </c>
      <c r="J39" s="8" t="n">
        <v>16.4</v>
      </c>
      <c r="K39" s="8" t="n">
        <v>72.8</v>
      </c>
      <c r="L39" s="8" t="inlineStr">
        <is>
          <t>E</t>
        </is>
      </c>
      <c r="M39" s="8" t="n">
        <v>55.04</v>
      </c>
      <c r="N39" s="8" t="n">
        <v>51.14</v>
      </c>
      <c r="O39" s="8" t="n">
        <v>48</v>
      </c>
      <c r="P39" s="8" t="inlineStr">
        <is>
          <t>CARNES JP (PEDRO MONTOYA)</t>
        </is>
      </c>
      <c r="Q39" s="8" t="inlineStr">
        <is>
          <t>XGC579</t>
        </is>
      </c>
      <c r="R39" s="8" t="inlineStr">
        <is>
          <t>DE-7845</t>
        </is>
      </c>
    </row>
    <row r="40" ht="14.25" customHeight="1" s="314">
      <c r="A40" s="13" t="inlineStr">
        <is>
          <t>2025-07-03 06:49:14</t>
        </is>
      </c>
      <c r="B40" s="13" t="inlineStr">
        <is>
          <t>2025-07-03 06:56:48</t>
        </is>
      </c>
      <c r="C40" s="8" t="inlineStr">
        <is>
          <t>6566-39</t>
        </is>
      </c>
      <c r="E40" s="8" t="inlineStr">
        <is>
          <t>LA CIRCASIA</t>
        </is>
      </c>
      <c r="F40" s="8" t="n">
        <v>110.4</v>
      </c>
      <c r="G40" s="8" t="n">
        <v>92</v>
      </c>
      <c r="I40" s="8" t="n">
        <v>88</v>
      </c>
      <c r="J40" s="8" t="n">
        <v>11.2</v>
      </c>
      <c r="K40" s="8" t="n">
        <v>72.40000000000001</v>
      </c>
      <c r="L40" s="8" t="inlineStr">
        <is>
          <t>S</t>
        </is>
      </c>
      <c r="M40" s="8" t="n">
        <v>58.5</v>
      </c>
      <c r="N40" s="8" t="n">
        <v>53.82</v>
      </c>
      <c r="O40" s="8" t="n">
        <v>41</v>
      </c>
      <c r="P40" s="8" t="inlineStr">
        <is>
          <t>CARNES JP (PEDRO MONTOYA)</t>
        </is>
      </c>
      <c r="Q40" s="8" t="inlineStr">
        <is>
          <t>XGC579</t>
        </is>
      </c>
      <c r="R40" s="8" t="inlineStr">
        <is>
          <t>DE-7845</t>
        </is>
      </c>
    </row>
    <row r="41" ht="14.25" customHeight="1" s="314">
      <c r="A41" s="13" t="inlineStr">
        <is>
          <t>2025-07-03 06:49:14</t>
        </is>
      </c>
      <c r="B41" s="13" t="inlineStr">
        <is>
          <t>2025-07-03 06:56:48</t>
        </is>
      </c>
      <c r="C41" s="8" t="inlineStr">
        <is>
          <t>6566-40</t>
        </is>
      </c>
      <c r="E41" s="8" t="inlineStr">
        <is>
          <t>LA CIRCASIA</t>
        </is>
      </c>
      <c r="F41" s="8" t="n">
        <v>115.8</v>
      </c>
      <c r="G41" s="8" t="n">
        <v>96.5</v>
      </c>
      <c r="I41" s="8" t="n">
        <v>93</v>
      </c>
      <c r="J41" s="8" t="n">
        <v>17.2</v>
      </c>
      <c r="K41" s="8" t="n">
        <v>75.59999999999999</v>
      </c>
      <c r="L41" s="8" t="inlineStr">
        <is>
          <t>E</t>
        </is>
      </c>
      <c r="M41" s="8" t="n">
        <v>54.88</v>
      </c>
      <c r="N41" s="8" t="n">
        <v>52.96</v>
      </c>
      <c r="O41" s="8" t="n">
        <v>43</v>
      </c>
      <c r="P41" s="8" t="inlineStr">
        <is>
          <t>CARNES JP (PEDRO MONTOYA)</t>
        </is>
      </c>
      <c r="Q41" s="8" t="inlineStr">
        <is>
          <t>XGC579</t>
        </is>
      </c>
      <c r="R41" s="8" t="inlineStr">
        <is>
          <t>DE-7845</t>
        </is>
      </c>
    </row>
    <row r="42" ht="14.25" customHeight="1" s="314"/>
    <row r="43" ht="14.25" customHeight="1" s="314"/>
    <row r="44" ht="14.25" customHeight="1" s="314"/>
    <row r="45" ht="14.25" customHeight="1" s="314"/>
    <row r="46" ht="14.25" customHeight="1" s="314"/>
    <row r="47" ht="14.25" customHeight="1" s="314"/>
    <row r="48" ht="14.25" customHeight="1" s="314"/>
    <row r="49" ht="14.25" customHeight="1" s="314"/>
    <row r="50" ht="14.25" customHeight="1" s="314"/>
    <row r="51" ht="14.25" customHeight="1" s="314"/>
    <row r="52" ht="14.25" customHeight="1" s="314"/>
    <row r="53" ht="14.25" customHeight="1" s="314"/>
    <row r="54" ht="14.25" customHeight="1" s="314"/>
    <row r="55" ht="14.25" customHeight="1" s="314"/>
    <row r="56" ht="14.25" customHeight="1" s="314"/>
    <row r="57" ht="14.25" customHeight="1" s="314"/>
    <row r="58" ht="14.25" customHeight="1" s="314"/>
    <row r="59" ht="14.25" customHeight="1" s="314"/>
    <row r="60" ht="14.25" customHeight="1" s="314"/>
    <row r="61" ht="14.25" customHeight="1" s="314"/>
    <row r="62" ht="14.25" customHeight="1" s="314"/>
    <row r="63" ht="14.25" customHeight="1" s="314"/>
    <row r="64" ht="14.25" customHeight="1" s="314"/>
    <row r="65" ht="14.25" customHeight="1" s="314"/>
    <row r="66" ht="14.25" customHeight="1" s="314"/>
    <row r="67" ht="14.25" customHeight="1" s="314"/>
    <row r="68" ht="14.25" customHeight="1" s="314"/>
    <row r="69" ht="14.25" customHeight="1" s="314"/>
    <row r="70" ht="14.25" customHeight="1" s="314"/>
    <row r="71" ht="14.25" customHeight="1" s="314"/>
    <row r="72" ht="14.25" customHeight="1" s="314"/>
    <row r="73" ht="14.25" customHeight="1" s="314"/>
    <row r="74" ht="14.25" customHeight="1" s="314"/>
    <row r="75" ht="14.25" customHeight="1" s="314"/>
    <row r="76" ht="14.25" customHeight="1" s="314"/>
    <row r="77" ht="14.25" customHeight="1" s="314"/>
    <row r="78" ht="14.25" customHeight="1" s="314"/>
    <row r="79" ht="14.25" customHeight="1" s="314"/>
    <row r="80" ht="14.25" customHeight="1" s="314"/>
    <row r="81" ht="14.25" customHeight="1" s="314"/>
    <row r="82" ht="14.25" customHeight="1" s="314"/>
    <row r="83" ht="14.25" customHeight="1" s="314"/>
    <row r="84" ht="14.25" customHeight="1" s="314"/>
    <row r="85" ht="14.25" customHeight="1" s="314"/>
    <row r="86" ht="14.25" customHeight="1" s="314"/>
    <row r="87" ht="14.25" customHeight="1" s="314"/>
    <row r="88" ht="14.25" customHeight="1" s="314"/>
    <row r="89" ht="14.25" customHeight="1" s="314"/>
    <row r="90" ht="14.25" customHeight="1" s="314"/>
    <row r="91" ht="14.25" customHeight="1" s="314"/>
    <row r="92" ht="14.25" customHeight="1" s="314"/>
    <row r="93" ht="14.25" customHeight="1" s="314"/>
    <row r="94" ht="14.25" customHeight="1" s="314"/>
    <row r="95" ht="14.25" customHeight="1" s="314"/>
    <row r="96" ht="14.25" customHeight="1" s="314"/>
    <row r="97" ht="14.25" customHeight="1" s="314"/>
    <row r="98" ht="14.25" customHeight="1" s="314"/>
    <row r="99" ht="14.25" customHeight="1" s="314"/>
    <row r="100" ht="14.25" customHeight="1" s="314"/>
    <row r="101" ht="14.25" customHeight="1" s="314"/>
    <row r="102" ht="14.25" customHeight="1" s="314"/>
    <row r="103" ht="14.25" customHeight="1" s="314"/>
    <row r="104" ht="14.25" customHeight="1" s="314"/>
    <row r="105" ht="14.25" customHeight="1" s="314"/>
    <row r="106" ht="14.25" customHeight="1" s="314"/>
    <row r="107" ht="14.25" customHeight="1" s="314"/>
    <row r="108" ht="14.25" customHeight="1" s="314"/>
    <row r="109" ht="14.25" customHeight="1" s="314"/>
    <row r="110" ht="14.25" customHeight="1" s="314"/>
    <row r="111" ht="14.25" customHeight="1" s="314"/>
    <row r="112" ht="14.25" customHeight="1" s="314"/>
    <row r="113" ht="14.25" customHeight="1" s="314"/>
    <row r="114" ht="14.25" customHeight="1" s="314"/>
    <row r="115" ht="14.25" customHeight="1" s="314"/>
    <row r="116" ht="14.25" customHeight="1" s="314"/>
    <row r="117" ht="14.25" customHeight="1" s="314"/>
    <row r="118" ht="14.25" customHeight="1" s="314"/>
    <row r="119" ht="14.25" customHeight="1" s="314"/>
    <row r="120" ht="14.25" customHeight="1" s="314"/>
    <row r="121" ht="14.25" customHeight="1" s="314"/>
    <row r="122" ht="14.25" customHeight="1" s="314"/>
    <row r="123" ht="14.25" customHeight="1" s="314"/>
    <row r="124" ht="14.25" customHeight="1" s="314"/>
    <row r="125" ht="14.25" customHeight="1" s="314"/>
    <row r="126" ht="14.25" customHeight="1" s="314"/>
    <row r="127" ht="14.25" customHeight="1" s="314"/>
    <row r="128" ht="14.25" customHeight="1" s="314"/>
    <row r="129" ht="14.25" customHeight="1" s="314"/>
    <row r="130" ht="14.25" customHeight="1" s="314"/>
    <row r="131" ht="14.25" customHeight="1" s="314"/>
    <row r="132" ht="14.25" customHeight="1" s="314"/>
    <row r="133" ht="14.25" customHeight="1" s="314"/>
    <row r="134" ht="14.25" customHeight="1" s="314"/>
    <row r="135" ht="14.25" customHeight="1" s="314"/>
    <row r="136" ht="14.25" customHeight="1" s="314"/>
    <row r="137" ht="14.25" customHeight="1" s="314"/>
    <row r="138" ht="14.25" customHeight="1" s="314"/>
    <row r="139" ht="14.25" customHeight="1" s="314"/>
    <row r="140" ht="14.25" customHeight="1" s="314"/>
    <row r="141" ht="14.25" customHeight="1" s="314"/>
    <row r="142" ht="14.25" customHeight="1" s="314"/>
    <row r="143" ht="14.25" customHeight="1" s="314"/>
    <row r="144" ht="14.25" customHeight="1" s="314"/>
    <row r="145" ht="14.25" customHeight="1" s="314"/>
    <row r="146" ht="14.25" customHeight="1" s="314"/>
    <row r="147" ht="14.25" customHeight="1" s="314"/>
    <row r="148" ht="14.25" customHeight="1" s="314"/>
    <row r="149" ht="14.25" customHeight="1" s="314"/>
    <row r="150" ht="14.25" customHeight="1" s="314"/>
    <row r="151" ht="14.25" customHeight="1" s="314"/>
    <row r="152" ht="14.25" customHeight="1" s="314"/>
    <row r="153" ht="14.25" customHeight="1" s="314"/>
    <row r="154" ht="14.25" customHeight="1" s="314"/>
    <row r="155" ht="14.25" customHeight="1" s="314"/>
    <row r="156" ht="14.25" customHeight="1" s="314"/>
    <row r="157" ht="14.25" customHeight="1" s="314"/>
    <row r="158" ht="14.25" customHeight="1" s="314"/>
    <row r="159" ht="14.25" customHeight="1" s="314"/>
    <row r="160" ht="14.25" customHeight="1" s="314"/>
    <row r="161" ht="14.25" customHeight="1" s="314"/>
    <row r="162" ht="14.25" customHeight="1" s="314"/>
    <row r="163" ht="14.25" customHeight="1" s="314"/>
    <row r="164" ht="14.25" customHeight="1" s="314"/>
    <row r="165" ht="14.25" customHeight="1" s="314"/>
    <row r="166" ht="14.25" customHeight="1" s="314"/>
    <row r="167" ht="14.25" customHeight="1" s="314"/>
    <row r="168" ht="14.25" customHeight="1" s="314"/>
    <row r="169" ht="14.25" customHeight="1" s="314"/>
    <row r="170" ht="14.25" customHeight="1" s="314"/>
    <row r="171" ht="14.25" customHeight="1" s="314"/>
    <row r="172" ht="14.25" customHeight="1" s="314"/>
    <row r="173" ht="14.25" customHeight="1" s="314"/>
    <row r="174" ht="14.25" customHeight="1" s="314"/>
    <row r="175" ht="14.25" customHeight="1" s="314"/>
    <row r="176" ht="14.25" customHeight="1" s="314"/>
    <row r="177" ht="14.25" customHeight="1" s="314"/>
    <row r="178" ht="14.25" customHeight="1" s="314"/>
    <row r="179" ht="14.25" customHeight="1" s="314"/>
    <row r="180" ht="14.25" customHeight="1" s="314"/>
    <row r="181" ht="14.25" customHeight="1" s="314"/>
    <row r="182" ht="14.25" customHeight="1" s="314"/>
    <row r="183" ht="14.25" customHeight="1" s="314"/>
    <row r="184" ht="14.25" customHeight="1" s="314"/>
    <row r="185" ht="14.25" customHeight="1" s="314"/>
    <row r="186" ht="14.25" customHeight="1" s="314"/>
    <row r="187" ht="14.25" customHeight="1" s="314"/>
    <row r="188" ht="14.25" customHeight="1" s="314"/>
    <row r="189" ht="14.25" customHeight="1" s="314"/>
    <row r="190" ht="14.25" customHeight="1" s="314"/>
    <row r="191" ht="14.25" customHeight="1" s="314"/>
    <row r="192" ht="14.25" customHeight="1" s="314"/>
    <row r="193" ht="14.25" customHeight="1" s="314"/>
    <row r="194" ht="14.25" customHeight="1" s="314"/>
    <row r="195" ht="14.25" customHeight="1" s="314"/>
    <row r="196" ht="14.25" customHeight="1" s="314"/>
    <row r="197" ht="14.25" customHeight="1" s="314"/>
    <row r="198" ht="14.25" customHeight="1" s="314"/>
    <row r="199" ht="14.25" customHeight="1" s="314"/>
    <row r="200" ht="14.25" customHeight="1" s="314"/>
    <row r="201" ht="14.25" customHeight="1" s="314"/>
    <row r="202" ht="14.25" customHeight="1" s="314"/>
    <row r="203" ht="14.25" customHeight="1" s="314"/>
    <row r="204" ht="14.25" customHeight="1" s="314"/>
    <row r="205" ht="14.25" customHeight="1" s="314"/>
    <row r="206" ht="14.25" customHeight="1" s="314"/>
    <row r="207" ht="14.25" customHeight="1" s="314"/>
    <row r="208" ht="14.25" customHeight="1" s="314"/>
    <row r="209" ht="14.25" customHeight="1" s="314"/>
    <row r="210" ht="14.25" customHeight="1" s="314"/>
    <row r="211" ht="14.25" customHeight="1" s="314"/>
    <row r="212" ht="14.25" customHeight="1" s="314"/>
    <row r="213" ht="14.25" customHeight="1" s="314"/>
    <row r="214" ht="14.25" customHeight="1" s="314"/>
    <row r="215" ht="14.25" customHeight="1" s="314"/>
    <row r="216" ht="14.25" customHeight="1" s="314"/>
    <row r="217" ht="14.25" customHeight="1" s="314"/>
    <row r="218" ht="14.25" customHeight="1" s="314"/>
    <row r="219" ht="14.25" customHeight="1" s="314"/>
    <row r="220" ht="14.25" customHeight="1" s="314"/>
    <row r="221" ht="14.25" customHeight="1" s="314"/>
    <row r="222" ht="14.25" customHeight="1" s="314"/>
    <row r="223" ht="14.25" customHeight="1" s="314"/>
    <row r="224" ht="14.25" customHeight="1" s="314"/>
    <row r="225" ht="14.25" customHeight="1" s="314"/>
    <row r="226" ht="14.25" customHeight="1" s="314"/>
    <row r="227" ht="14.25" customHeight="1" s="314"/>
    <row r="228" ht="14.25" customHeight="1" s="314"/>
    <row r="229" ht="14.25" customHeight="1" s="314"/>
    <row r="230" ht="14.25" customHeight="1" s="314"/>
    <row r="231" ht="14.25" customHeight="1" s="314"/>
    <row r="232" ht="14.25" customHeight="1" s="314"/>
    <row r="233" ht="14.25" customHeight="1" s="314"/>
    <row r="234" ht="14.25" customHeight="1" s="314"/>
    <row r="235" ht="14.25" customHeight="1" s="314"/>
    <row r="236" ht="14.25" customHeight="1" s="314"/>
    <row r="237" ht="14.25" customHeight="1" s="314"/>
    <row r="238" ht="14.25" customHeight="1" s="314"/>
    <row r="239" ht="14.25" customHeight="1" s="314"/>
    <row r="240" ht="14.25" customHeight="1" s="314"/>
    <row r="241" ht="14.25" customHeight="1" s="314"/>
    <row r="242" ht="14.25" customHeight="1" s="314"/>
    <row r="243" ht="14.25" customHeight="1" s="314"/>
    <row r="244" ht="14.25" customHeight="1" s="314"/>
    <row r="245" ht="14.25" customHeight="1" s="314"/>
    <row r="246" ht="14.25" customHeight="1" s="314"/>
    <row r="247" ht="14.25" customHeight="1" s="314"/>
    <row r="248" ht="14.25" customHeight="1" s="314"/>
    <row r="249" ht="14.25" customHeight="1" s="314"/>
    <row r="250" ht="14.25" customHeight="1" s="314"/>
    <row r="251" ht="14.25" customHeight="1" s="314"/>
    <row r="252" ht="14.25" customHeight="1" s="314"/>
    <row r="253" ht="14.25" customHeight="1" s="314"/>
    <row r="254" ht="14.25" customHeight="1" s="314"/>
    <row r="255" ht="14.25" customHeight="1" s="314"/>
    <row r="256" ht="14.25" customHeight="1" s="314"/>
    <row r="257" ht="14.25" customHeight="1" s="314"/>
    <row r="258" ht="14.25" customHeight="1" s="314"/>
    <row r="259" ht="14.25" customHeight="1" s="314"/>
    <row r="260" ht="14.25" customHeight="1" s="314"/>
    <row r="261" ht="14.25" customHeight="1" s="314"/>
    <row r="262" ht="14.25" customHeight="1" s="314"/>
    <row r="263" ht="14.25" customHeight="1" s="314"/>
    <row r="264" ht="14.25" customHeight="1" s="314"/>
    <row r="265" ht="14.25" customHeight="1" s="314"/>
    <row r="266" ht="14.25" customHeight="1" s="314"/>
    <row r="267" ht="14.25" customHeight="1" s="314"/>
    <row r="268" ht="14.25" customHeight="1" s="314"/>
    <row r="269" ht="14.25" customHeight="1" s="314"/>
    <row r="270" ht="14.25" customHeight="1" s="314"/>
    <row r="271" ht="14.25" customHeight="1" s="314"/>
    <row r="272" ht="14.25" customHeight="1" s="314"/>
    <row r="273" ht="14.25" customHeight="1" s="314"/>
    <row r="274" ht="14.25" customHeight="1" s="314"/>
    <row r="275" ht="14.25" customHeight="1" s="314"/>
    <row r="276" ht="14.25" customHeight="1" s="314"/>
    <row r="277" ht="14.25" customHeight="1" s="314"/>
    <row r="278" ht="14.25" customHeight="1" s="314"/>
    <row r="279" ht="14.25" customHeight="1" s="314"/>
    <row r="280" ht="14.25" customHeight="1" s="314"/>
    <row r="281" ht="14.25" customHeight="1" s="314"/>
    <row r="282" ht="14.25" customHeight="1" s="314"/>
    <row r="283" ht="14.25" customHeight="1" s="314"/>
    <row r="284" ht="14.25" customHeight="1" s="314"/>
    <row r="285" ht="14.25" customHeight="1" s="314"/>
    <row r="286" ht="14.25" customHeight="1" s="314"/>
    <row r="287" ht="14.25" customHeight="1" s="314"/>
    <row r="288" ht="14.25" customHeight="1" s="314"/>
    <row r="289" ht="14.25" customHeight="1" s="314"/>
    <row r="290" ht="14.25" customHeight="1" s="314"/>
    <row r="291" ht="14.25" customHeight="1" s="314"/>
    <row r="292" ht="14.25" customHeight="1" s="314"/>
    <row r="293" ht="14.25" customHeight="1" s="314"/>
    <row r="294" ht="14.25" customHeight="1" s="314"/>
    <row r="295" ht="14.25" customHeight="1" s="314"/>
    <row r="296" ht="14.25" customHeight="1" s="314"/>
    <row r="297" ht="14.25" customHeight="1" s="314"/>
    <row r="298" ht="14.25" customHeight="1" s="314"/>
    <row r="299" ht="14.25" customHeight="1" s="314"/>
    <row r="300" ht="14.25" customHeight="1" s="314"/>
    <row r="301" ht="14.25" customHeight="1" s="314"/>
    <row r="302" ht="14.25" customHeight="1" s="314"/>
    <row r="303" ht="14.25" customHeight="1" s="314"/>
    <row r="304" ht="14.25" customHeight="1" s="314"/>
    <row r="305" ht="14.25" customHeight="1" s="314"/>
    <row r="306" ht="14.25" customHeight="1" s="314"/>
    <row r="307" ht="14.25" customHeight="1" s="314"/>
    <row r="308" ht="14.25" customHeight="1" s="314"/>
    <row r="309" ht="14.25" customHeight="1" s="314"/>
    <row r="310" ht="14.25" customHeight="1" s="314"/>
    <row r="311" ht="14.25" customHeight="1" s="314"/>
    <row r="312" ht="14.25" customHeight="1" s="314"/>
    <row r="313" ht="14.25" customHeight="1" s="314"/>
    <row r="314" ht="14.25" customHeight="1" s="314"/>
    <row r="315" ht="14.25" customHeight="1" s="314"/>
    <row r="316" ht="14.25" customHeight="1" s="314"/>
    <row r="317" ht="14.25" customHeight="1" s="314"/>
    <row r="318" ht="14.25" customHeight="1" s="314"/>
    <row r="319" ht="14.25" customHeight="1" s="314"/>
    <row r="320" ht="14.25" customHeight="1" s="314"/>
    <row r="321" ht="14.25" customHeight="1" s="314"/>
    <row r="322" ht="14.25" customHeight="1" s="314"/>
    <row r="323" ht="14.25" customHeight="1" s="314"/>
    <row r="324" ht="14.25" customHeight="1" s="314"/>
    <row r="325" ht="14.25" customHeight="1" s="314"/>
    <row r="326" ht="14.25" customHeight="1" s="314"/>
    <row r="327" ht="14.25" customHeight="1" s="314"/>
    <row r="328" ht="14.25" customHeight="1" s="314"/>
    <row r="329" ht="14.25" customHeight="1" s="314"/>
    <row r="330" ht="14.25" customHeight="1" s="314"/>
    <row r="331" ht="14.25" customHeight="1" s="314"/>
    <row r="332" ht="14.25" customHeight="1" s="314"/>
    <row r="333" ht="14.25" customHeight="1" s="314"/>
    <row r="334" ht="14.25" customHeight="1" s="314"/>
    <row r="335" ht="14.25" customHeight="1" s="314"/>
    <row r="336" ht="14.25" customHeight="1" s="314"/>
    <row r="337" ht="14.25" customHeight="1" s="314"/>
    <row r="338" ht="14.25" customHeight="1" s="314"/>
    <row r="339" ht="14.25" customHeight="1" s="314"/>
    <row r="340" ht="14.25" customHeight="1" s="314"/>
    <row r="341" ht="14.25" customHeight="1" s="314"/>
    <row r="342" ht="14.25" customHeight="1" s="314"/>
    <row r="343" ht="14.25" customHeight="1" s="314"/>
    <row r="344" ht="14.25" customHeight="1" s="314"/>
    <row r="345" ht="14.25" customHeight="1" s="314"/>
    <row r="346" ht="14.25" customHeight="1" s="314"/>
    <row r="347" ht="14.25" customHeight="1" s="314"/>
    <row r="348" ht="14.25" customHeight="1" s="314"/>
    <row r="349" ht="14.25" customHeight="1" s="314"/>
    <row r="350" ht="14.25" customHeight="1" s="314"/>
    <row r="351" ht="14.25" customHeight="1" s="314"/>
    <row r="352" ht="14.25" customHeight="1" s="314"/>
    <row r="353" ht="14.25" customHeight="1" s="314"/>
    <row r="354" ht="14.25" customHeight="1" s="314"/>
    <row r="355" ht="14.25" customHeight="1" s="314"/>
    <row r="356" ht="14.25" customHeight="1" s="314"/>
    <row r="357" ht="14.25" customHeight="1" s="314"/>
    <row r="358" ht="14.25" customHeight="1" s="314"/>
    <row r="359" ht="14.25" customHeight="1" s="314"/>
    <row r="360" ht="14.25" customHeight="1" s="314"/>
    <row r="361" ht="14.25" customHeight="1" s="314"/>
    <row r="362" ht="14.25" customHeight="1" s="314"/>
    <row r="363" ht="14.25" customHeight="1" s="314"/>
    <row r="364" ht="14.25" customHeight="1" s="314"/>
    <row r="365" ht="14.25" customHeight="1" s="314"/>
    <row r="366" ht="14.25" customHeight="1" s="314"/>
    <row r="367" ht="14.25" customHeight="1" s="314"/>
    <row r="368" ht="14.25" customHeight="1" s="314"/>
    <row r="369" ht="14.25" customHeight="1" s="314"/>
    <row r="370" ht="14.25" customHeight="1" s="314"/>
    <row r="371" ht="14.25" customHeight="1" s="314"/>
    <row r="372" ht="14.25" customHeight="1" s="314"/>
    <row r="373" ht="14.25" customHeight="1" s="314"/>
    <row r="374" ht="14.25" customHeight="1" s="314"/>
    <row r="375" ht="14.25" customHeight="1" s="314"/>
    <row r="376" ht="14.25" customHeight="1" s="314"/>
    <row r="377" ht="14.25" customHeight="1" s="314"/>
    <row r="378" ht="14.25" customHeight="1" s="314"/>
    <row r="379" ht="14.25" customHeight="1" s="314"/>
    <row r="380" ht="14.25" customHeight="1" s="314"/>
    <row r="381" ht="14.25" customHeight="1" s="314"/>
    <row r="382" ht="14.25" customHeight="1" s="314"/>
    <row r="383" ht="14.25" customHeight="1" s="314"/>
    <row r="384" ht="14.25" customHeight="1" s="314"/>
    <row r="385" ht="14.25" customHeight="1" s="314"/>
    <row r="386" ht="14.25" customHeight="1" s="314"/>
    <row r="387" ht="14.25" customHeight="1" s="314"/>
    <row r="388" ht="14.25" customHeight="1" s="314"/>
    <row r="389" ht="14.25" customHeight="1" s="314"/>
    <row r="390" ht="14.25" customHeight="1" s="314"/>
    <row r="391" ht="14.25" customHeight="1" s="314"/>
    <row r="392" ht="14.25" customHeight="1" s="314"/>
    <row r="393" ht="14.25" customHeight="1" s="314"/>
    <row r="394" ht="14.25" customHeight="1" s="314"/>
    <row r="395" ht="14.25" customHeight="1" s="314"/>
    <row r="396" ht="14.25" customHeight="1" s="314"/>
    <row r="397" ht="14.25" customHeight="1" s="314"/>
    <row r="398" ht="14.25" customHeight="1" s="314"/>
    <row r="399" ht="14.25" customHeight="1" s="314"/>
    <row r="400" ht="14.25" customHeight="1" s="314"/>
    <row r="401" ht="14.25" customHeight="1" s="314"/>
    <row r="402" ht="14.25" customHeight="1" s="314"/>
    <row r="403" ht="14.25" customHeight="1" s="314"/>
    <row r="404" ht="14.25" customHeight="1" s="314"/>
    <row r="405" ht="14.25" customHeight="1" s="314"/>
    <row r="406" ht="14.25" customHeight="1" s="314"/>
    <row r="407" ht="14.25" customHeight="1" s="314"/>
    <row r="408" ht="14.25" customHeight="1" s="314"/>
    <row r="409" ht="14.25" customHeight="1" s="314"/>
    <row r="410" ht="14.25" customHeight="1" s="314"/>
    <row r="411" ht="14.25" customHeight="1" s="314"/>
    <row r="412" ht="14.25" customHeight="1" s="314"/>
    <row r="413" ht="14.25" customHeight="1" s="314"/>
    <row r="414" ht="14.25" customHeight="1" s="314"/>
    <row r="415" ht="14.25" customHeight="1" s="314"/>
    <row r="416" ht="14.25" customHeight="1" s="314"/>
    <row r="417" ht="14.25" customHeight="1" s="314"/>
    <row r="418" ht="14.25" customHeight="1" s="314"/>
    <row r="419" ht="14.25" customHeight="1" s="314"/>
    <row r="420" ht="14.25" customHeight="1" s="314"/>
    <row r="421" ht="14.25" customHeight="1" s="314"/>
    <row r="422" ht="14.25" customHeight="1" s="314"/>
    <row r="423" ht="14.25" customHeight="1" s="314"/>
    <row r="424" ht="14.25" customHeight="1" s="314"/>
    <row r="425" ht="14.25" customHeight="1" s="314"/>
    <row r="426" ht="14.25" customHeight="1" s="314"/>
    <row r="427" ht="14.25" customHeight="1" s="314"/>
    <row r="428" ht="14.25" customHeight="1" s="314"/>
    <row r="429" ht="14.25" customHeight="1" s="314"/>
    <row r="430" ht="14.25" customHeight="1" s="314"/>
    <row r="431" ht="14.25" customHeight="1" s="314"/>
    <row r="432" ht="14.25" customHeight="1" s="314"/>
    <row r="433" ht="14.25" customHeight="1" s="314"/>
    <row r="434" ht="14.25" customHeight="1" s="314"/>
    <row r="435" ht="14.25" customHeight="1" s="314"/>
    <row r="436" ht="14.25" customHeight="1" s="314"/>
    <row r="437" ht="14.25" customHeight="1" s="314"/>
    <row r="438" ht="14.25" customHeight="1" s="314"/>
    <row r="439" ht="14.25" customHeight="1" s="314"/>
    <row r="440" ht="14.25" customHeight="1" s="314"/>
    <row r="441" ht="14.25" customHeight="1" s="314"/>
    <row r="442" ht="14.25" customHeight="1" s="314"/>
    <row r="443" ht="14.25" customHeight="1" s="314"/>
    <row r="444" ht="14.25" customHeight="1" s="314"/>
    <row r="445" ht="14.25" customHeight="1" s="314"/>
    <row r="446" ht="14.25" customHeight="1" s="314"/>
    <row r="447" ht="14.25" customHeight="1" s="314"/>
    <row r="448" ht="14.25" customHeight="1" s="314"/>
    <row r="449" ht="14.25" customHeight="1" s="314"/>
    <row r="450" ht="14.25" customHeight="1" s="314"/>
    <row r="451" ht="14.25" customHeight="1" s="314"/>
    <row r="452" ht="14.25" customHeight="1" s="314"/>
    <row r="453" ht="14.25" customHeight="1" s="314"/>
    <row r="454" ht="14.25" customHeight="1" s="314"/>
    <row r="455" ht="14.25" customHeight="1" s="314"/>
    <row r="456" ht="14.25" customHeight="1" s="314"/>
    <row r="457" ht="14.25" customHeight="1" s="314"/>
    <row r="458" ht="14.25" customHeight="1" s="314"/>
    <row r="459" ht="14.25" customHeight="1" s="314"/>
    <row r="460" ht="14.25" customHeight="1" s="314"/>
    <row r="461" ht="14.25" customHeight="1" s="314"/>
    <row r="462" ht="14.25" customHeight="1" s="314"/>
    <row r="463" ht="14.25" customHeight="1" s="314"/>
    <row r="464" ht="14.25" customHeight="1" s="314"/>
    <row r="465" ht="14.25" customHeight="1" s="314"/>
    <row r="466" ht="14.25" customHeight="1" s="314"/>
    <row r="467" ht="14.25" customHeight="1" s="314"/>
    <row r="468" ht="14.25" customHeight="1" s="314"/>
    <row r="469" ht="14.25" customHeight="1" s="314"/>
    <row r="470" ht="14.25" customHeight="1" s="314"/>
    <row r="471" ht="14.25" customHeight="1" s="314"/>
    <row r="472" ht="14.25" customHeight="1" s="314"/>
    <row r="473" ht="14.25" customHeight="1" s="314"/>
    <row r="474" ht="14.25" customHeight="1" s="314"/>
    <row r="475" ht="14.25" customHeight="1" s="314"/>
    <row r="476" ht="14.25" customHeight="1" s="314"/>
    <row r="477" ht="14.25" customHeight="1" s="314"/>
    <row r="478" ht="14.25" customHeight="1" s="314"/>
    <row r="479" ht="14.25" customHeight="1" s="314"/>
    <row r="480" ht="14.25" customHeight="1" s="314"/>
    <row r="481" ht="14.25" customHeight="1" s="314"/>
    <row r="482" ht="14.25" customHeight="1" s="314"/>
    <row r="483" ht="14.25" customHeight="1" s="314"/>
    <row r="484" ht="14.25" customHeight="1" s="314"/>
    <row r="485" ht="14.25" customHeight="1" s="314"/>
    <row r="486" ht="14.25" customHeight="1" s="314"/>
    <row r="487" ht="14.25" customHeight="1" s="314"/>
    <row r="488" ht="14.25" customHeight="1" s="314"/>
    <row r="489" ht="14.25" customHeight="1" s="314"/>
    <row r="490" ht="14.25" customHeight="1" s="314"/>
    <row r="491" ht="14.25" customHeight="1" s="314"/>
    <row r="492" ht="14.25" customHeight="1" s="314"/>
    <row r="493" ht="14.25" customHeight="1" s="314"/>
    <row r="494" ht="14.25" customHeight="1" s="314"/>
    <row r="495" ht="14.25" customHeight="1" s="314"/>
    <row r="496" ht="14.25" customHeight="1" s="314"/>
    <row r="497" ht="14.25" customHeight="1" s="314"/>
    <row r="498" ht="14.25" customHeight="1" s="314"/>
    <row r="499" ht="14.25" customHeight="1" s="314"/>
    <row r="500" ht="14.25" customHeight="1" s="314"/>
    <row r="501" ht="14.25" customHeight="1" s="314"/>
    <row r="502" ht="14.25" customHeight="1" s="314"/>
    <row r="503" ht="14.25" customHeight="1" s="314"/>
    <row r="504" ht="14.25" customHeight="1" s="314"/>
    <row r="505" ht="14.25" customHeight="1" s="314"/>
    <row r="506" ht="14.25" customHeight="1" s="314"/>
    <row r="507" ht="14.25" customHeight="1" s="314"/>
    <row r="508" ht="14.25" customHeight="1" s="314"/>
    <row r="509" ht="14.25" customHeight="1" s="314"/>
    <row r="510" ht="14.25" customHeight="1" s="314"/>
    <row r="511" ht="14.25" customHeight="1" s="314"/>
    <row r="512" ht="14.25" customHeight="1" s="314"/>
    <row r="513" ht="14.25" customHeight="1" s="314"/>
    <row r="514" ht="14.25" customHeight="1" s="314"/>
    <row r="515" ht="14.25" customHeight="1" s="314"/>
    <row r="516" ht="14.25" customHeight="1" s="314"/>
    <row r="517" ht="14.25" customHeight="1" s="314"/>
    <row r="518" ht="14.25" customHeight="1" s="314"/>
    <row r="519" ht="14.25" customHeight="1" s="314"/>
    <row r="520" ht="14.25" customHeight="1" s="314"/>
    <row r="521" ht="14.25" customHeight="1" s="314"/>
    <row r="522" ht="14.25" customHeight="1" s="314"/>
    <row r="523" ht="14.25" customHeight="1" s="314"/>
    <row r="524" ht="14.25" customHeight="1" s="314"/>
    <row r="525" ht="14.25" customHeight="1" s="314"/>
    <row r="526" ht="14.25" customHeight="1" s="314"/>
    <row r="527" ht="14.25" customHeight="1" s="314"/>
    <row r="528" ht="14.25" customHeight="1" s="314"/>
    <row r="529" ht="14.25" customHeight="1" s="314"/>
    <row r="530" ht="14.25" customHeight="1" s="314"/>
    <row r="531" ht="14.25" customHeight="1" s="314"/>
    <row r="532" ht="14.25" customHeight="1" s="314"/>
    <row r="533" ht="14.25" customHeight="1" s="314"/>
    <row r="534" ht="14.25" customHeight="1" s="314"/>
    <row r="535" ht="14.25" customHeight="1" s="314"/>
    <row r="536" ht="14.25" customHeight="1" s="314"/>
    <row r="537" ht="14.25" customHeight="1" s="314"/>
    <row r="538" ht="14.25" customHeight="1" s="314"/>
    <row r="539" ht="14.25" customHeight="1" s="314"/>
    <row r="540" ht="14.25" customHeight="1" s="314"/>
    <row r="541" ht="14.25" customHeight="1" s="314"/>
    <row r="542" ht="14.25" customHeight="1" s="314"/>
    <row r="543" ht="14.25" customHeight="1" s="314"/>
    <row r="544" ht="14.25" customHeight="1" s="314"/>
    <row r="545" ht="14.25" customHeight="1" s="314"/>
    <row r="546" ht="14.25" customHeight="1" s="314"/>
    <row r="547" ht="14.25" customHeight="1" s="314"/>
    <row r="548" ht="14.25" customHeight="1" s="314"/>
    <row r="549" ht="14.25" customHeight="1" s="314"/>
    <row r="550" ht="14.25" customHeight="1" s="314"/>
    <row r="551" ht="14.25" customHeight="1" s="314"/>
    <row r="552" ht="14.25" customHeight="1" s="314"/>
    <row r="553" ht="14.25" customHeight="1" s="314"/>
    <row r="554" ht="14.25" customHeight="1" s="314"/>
    <row r="555" ht="14.25" customHeight="1" s="314"/>
    <row r="556" ht="14.25" customHeight="1" s="314"/>
    <row r="557" ht="14.25" customHeight="1" s="314"/>
    <row r="558" ht="14.25" customHeight="1" s="314"/>
    <row r="559" ht="14.25" customHeight="1" s="314"/>
    <row r="560" ht="14.25" customHeight="1" s="314"/>
    <row r="561" ht="14.25" customHeight="1" s="314"/>
    <row r="562" ht="14.25" customHeight="1" s="314"/>
    <row r="563" ht="14.25" customHeight="1" s="314"/>
    <row r="564" ht="14.25" customHeight="1" s="314"/>
    <row r="565" ht="14.25" customHeight="1" s="314"/>
    <row r="566" ht="14.25" customHeight="1" s="314"/>
    <row r="567" ht="14.25" customHeight="1" s="314"/>
    <row r="568" ht="14.25" customHeight="1" s="314"/>
    <row r="569" ht="14.25" customHeight="1" s="314"/>
    <row r="570" ht="14.25" customHeight="1" s="314"/>
    <row r="571" ht="14.25" customHeight="1" s="314"/>
    <row r="572" ht="14.25" customHeight="1" s="314"/>
    <row r="573" ht="14.25" customHeight="1" s="314"/>
    <row r="574" ht="14.25" customHeight="1" s="314"/>
    <row r="575" ht="14.25" customHeight="1" s="314"/>
    <row r="576" ht="14.25" customHeight="1" s="314"/>
    <row r="577" ht="14.25" customHeight="1" s="314"/>
    <row r="578" ht="14.25" customHeight="1" s="314"/>
    <row r="579" ht="14.25" customHeight="1" s="314"/>
    <row r="580" ht="14.25" customHeight="1" s="314"/>
    <row r="581" ht="14.25" customHeight="1" s="314"/>
    <row r="582" ht="14.25" customHeight="1" s="314"/>
    <row r="583" ht="14.25" customHeight="1" s="314"/>
    <row r="584" ht="14.25" customHeight="1" s="314"/>
    <row r="585" ht="14.25" customHeight="1" s="314"/>
    <row r="586" ht="14.25" customHeight="1" s="314"/>
    <row r="587" ht="14.25" customHeight="1" s="314"/>
    <row r="588" ht="14.25" customHeight="1" s="314"/>
    <row r="589" ht="14.25" customHeight="1" s="314"/>
    <row r="590" ht="14.25" customHeight="1" s="314"/>
    <row r="591" ht="14.25" customHeight="1" s="314"/>
    <row r="592" ht="14.25" customHeight="1" s="314"/>
    <row r="593" ht="14.25" customHeight="1" s="314"/>
    <row r="594" ht="14.25" customHeight="1" s="314"/>
    <row r="595" ht="14.25" customHeight="1" s="314"/>
    <row r="596" ht="14.25" customHeight="1" s="314"/>
    <row r="597" ht="14.25" customHeight="1" s="314"/>
    <row r="598" ht="14.25" customHeight="1" s="314"/>
    <row r="599" ht="14.25" customHeight="1" s="314"/>
    <row r="600" ht="14.25" customHeight="1" s="314"/>
    <row r="601" ht="14.25" customHeight="1" s="314"/>
    <row r="602" ht="14.25" customHeight="1" s="314"/>
    <row r="603" ht="14.25" customHeight="1" s="314"/>
    <row r="604" ht="14.25" customHeight="1" s="314"/>
    <row r="605" ht="14.25" customHeight="1" s="314"/>
    <row r="606" ht="14.25" customHeight="1" s="314"/>
    <row r="607" ht="14.25" customHeight="1" s="314"/>
    <row r="608" ht="14.25" customHeight="1" s="314"/>
    <row r="609" ht="14.25" customHeight="1" s="314"/>
    <row r="610" ht="14.25" customHeight="1" s="314"/>
    <row r="611" ht="14.25" customHeight="1" s="314"/>
    <row r="612" ht="14.25" customHeight="1" s="314"/>
    <row r="613" ht="14.25" customHeight="1" s="314"/>
    <row r="614" ht="14.25" customHeight="1" s="314"/>
    <row r="615" ht="14.25" customHeight="1" s="314"/>
    <row r="616" ht="14.25" customHeight="1" s="314"/>
    <row r="617" ht="14.25" customHeight="1" s="314"/>
    <row r="618" ht="14.25" customHeight="1" s="314"/>
    <row r="619" ht="14.25" customHeight="1" s="314"/>
    <row r="620" ht="14.25" customHeight="1" s="314"/>
    <row r="621" ht="14.25" customHeight="1" s="314"/>
    <row r="622" ht="14.25" customHeight="1" s="314"/>
    <row r="623" ht="14.25" customHeight="1" s="314"/>
    <row r="624" ht="14.25" customHeight="1" s="314"/>
    <row r="625" ht="14.25" customHeight="1" s="314"/>
    <row r="626" ht="14.25" customHeight="1" s="314"/>
    <row r="627" ht="14.25" customHeight="1" s="314"/>
    <row r="628" ht="14.25" customHeight="1" s="314"/>
    <row r="629" ht="14.25" customHeight="1" s="314"/>
    <row r="630" ht="14.25" customHeight="1" s="314"/>
    <row r="631" ht="14.25" customHeight="1" s="314"/>
    <row r="632" ht="14.25" customHeight="1" s="314"/>
    <row r="633" ht="14.25" customHeight="1" s="314"/>
    <row r="634" ht="14.25" customHeight="1" s="314"/>
    <row r="635" ht="14.25" customHeight="1" s="314"/>
    <row r="636" ht="14.25" customHeight="1" s="314"/>
    <row r="637" ht="14.25" customHeight="1" s="314"/>
    <row r="638" ht="14.25" customHeight="1" s="314"/>
    <row r="639" ht="14.25" customHeight="1" s="314"/>
    <row r="640" ht="14.25" customHeight="1" s="314"/>
    <row r="641" ht="14.25" customHeight="1" s="314"/>
    <row r="642" ht="14.25" customHeight="1" s="314"/>
    <row r="643" ht="14.25" customHeight="1" s="314"/>
    <row r="644" ht="14.25" customHeight="1" s="314"/>
    <row r="645" ht="14.25" customHeight="1" s="314"/>
    <row r="646" ht="14.25" customHeight="1" s="314"/>
    <row r="647" ht="14.25" customHeight="1" s="314"/>
    <row r="648" ht="14.25" customHeight="1" s="314"/>
    <row r="649" ht="14.25" customHeight="1" s="314"/>
    <row r="650" ht="14.25" customHeight="1" s="314"/>
    <row r="651" ht="14.25" customHeight="1" s="314"/>
    <row r="652" ht="14.25" customHeight="1" s="314"/>
    <row r="653" ht="14.25" customHeight="1" s="314"/>
    <row r="654" ht="14.25" customHeight="1" s="314"/>
    <row r="655" ht="14.25" customHeight="1" s="314"/>
    <row r="656" ht="14.25" customHeight="1" s="314"/>
    <row r="657" ht="14.25" customHeight="1" s="314"/>
    <row r="658" ht="14.25" customHeight="1" s="314"/>
    <row r="659" ht="14.25" customHeight="1" s="314"/>
    <row r="660" ht="14.25" customHeight="1" s="314"/>
    <row r="661" ht="14.25" customHeight="1" s="314"/>
    <row r="662" ht="14.25" customHeight="1" s="314"/>
    <row r="663" ht="14.25" customHeight="1" s="314"/>
    <row r="664" ht="14.25" customHeight="1" s="314"/>
    <row r="665" ht="14.25" customHeight="1" s="314"/>
    <row r="666" ht="14.25" customHeight="1" s="314"/>
    <row r="667" ht="14.25" customHeight="1" s="314"/>
    <row r="668" ht="14.25" customHeight="1" s="314"/>
    <row r="669" ht="14.25" customHeight="1" s="314"/>
    <row r="670" ht="14.25" customHeight="1" s="314"/>
    <row r="671" ht="14.25" customHeight="1" s="314"/>
    <row r="672" ht="14.25" customHeight="1" s="314"/>
    <row r="673" ht="14.25" customHeight="1" s="314"/>
    <row r="674" ht="14.25" customHeight="1" s="314"/>
    <row r="675" ht="14.25" customHeight="1" s="314"/>
    <row r="676" ht="14.25" customHeight="1" s="314"/>
    <row r="677" ht="14.25" customHeight="1" s="314"/>
    <row r="678" ht="14.25" customHeight="1" s="314"/>
    <row r="679" ht="14.25" customHeight="1" s="314"/>
    <row r="680" ht="14.25" customHeight="1" s="314"/>
    <row r="681" ht="14.25" customHeight="1" s="314"/>
    <row r="682" ht="14.25" customHeight="1" s="314"/>
    <row r="683" ht="14.25" customHeight="1" s="314"/>
    <row r="684" ht="14.25" customHeight="1" s="314"/>
    <row r="685" ht="14.25" customHeight="1" s="314"/>
    <row r="686" ht="14.25" customHeight="1" s="314"/>
    <row r="687" ht="14.25" customHeight="1" s="314"/>
    <row r="688" ht="14.25" customHeight="1" s="314"/>
    <row r="689" ht="14.25" customHeight="1" s="314"/>
    <row r="690" ht="14.25" customHeight="1" s="314"/>
    <row r="691" ht="14.25" customHeight="1" s="314"/>
    <row r="692" ht="14.25" customHeight="1" s="314"/>
    <row r="693" ht="14.25" customHeight="1" s="314"/>
    <row r="694" ht="14.25" customHeight="1" s="314"/>
    <row r="695" ht="14.25" customHeight="1" s="314"/>
    <row r="696" ht="14.25" customHeight="1" s="314"/>
    <row r="697" ht="14.25" customHeight="1" s="314"/>
    <row r="698" ht="14.25" customHeight="1" s="314"/>
    <row r="699" ht="14.25" customHeight="1" s="314"/>
    <row r="700" ht="14.25" customHeight="1" s="314"/>
    <row r="701" ht="14.25" customHeight="1" s="314"/>
    <row r="702" ht="14.25" customHeight="1" s="314"/>
    <row r="703" ht="14.25" customHeight="1" s="314"/>
    <row r="704" ht="14.25" customHeight="1" s="314"/>
    <row r="705" ht="14.25" customHeight="1" s="314"/>
    <row r="706" ht="14.25" customHeight="1" s="314"/>
    <row r="707" ht="14.25" customHeight="1" s="314"/>
    <row r="708" ht="14.25" customHeight="1" s="314"/>
    <row r="709" ht="14.25" customHeight="1" s="314"/>
    <row r="710" ht="14.25" customHeight="1" s="314"/>
    <row r="711" ht="14.25" customHeight="1" s="314"/>
    <row r="712" ht="14.25" customHeight="1" s="314"/>
    <row r="713" ht="14.25" customHeight="1" s="314"/>
    <row r="714" ht="14.25" customHeight="1" s="314"/>
    <row r="715" ht="14.25" customHeight="1" s="314"/>
    <row r="716" ht="14.25" customHeight="1" s="314"/>
    <row r="717" ht="14.25" customHeight="1" s="314"/>
    <row r="718" ht="14.25" customHeight="1" s="314"/>
    <row r="719" ht="14.25" customHeight="1" s="314"/>
    <row r="720" ht="14.25" customHeight="1" s="314"/>
    <row r="721" ht="14.25" customHeight="1" s="314"/>
    <row r="722" ht="14.25" customHeight="1" s="314"/>
    <row r="723" ht="14.25" customHeight="1" s="314"/>
    <row r="724" ht="14.25" customHeight="1" s="314"/>
    <row r="725" ht="14.25" customHeight="1" s="314"/>
    <row r="726" ht="14.25" customHeight="1" s="314"/>
    <row r="727" ht="14.25" customHeight="1" s="314"/>
    <row r="728" ht="14.25" customHeight="1" s="314"/>
    <row r="729" ht="14.25" customHeight="1" s="314"/>
    <row r="730" ht="14.25" customHeight="1" s="314"/>
    <row r="731" ht="14.25" customHeight="1" s="314"/>
    <row r="732" ht="14.25" customHeight="1" s="314"/>
    <row r="733" ht="14.25" customHeight="1" s="314"/>
    <row r="734" ht="14.25" customHeight="1" s="314"/>
    <row r="735" ht="14.25" customHeight="1" s="314"/>
    <row r="736" ht="14.25" customHeight="1" s="314"/>
    <row r="737" ht="14.25" customHeight="1" s="314"/>
    <row r="738" ht="14.25" customHeight="1" s="314"/>
    <row r="739" ht="14.25" customHeight="1" s="314"/>
    <row r="740" ht="14.25" customHeight="1" s="314"/>
    <row r="741" ht="14.25" customHeight="1" s="314"/>
    <row r="742" ht="14.25" customHeight="1" s="314"/>
    <row r="743" ht="14.25" customHeight="1" s="314"/>
    <row r="744" ht="14.25" customHeight="1" s="314"/>
    <row r="745" ht="14.25" customHeight="1" s="314"/>
    <row r="746" ht="14.25" customHeight="1" s="314"/>
    <row r="747" ht="14.25" customHeight="1" s="314"/>
    <row r="748" ht="14.25" customHeight="1" s="314"/>
    <row r="749" ht="14.25" customHeight="1" s="314"/>
    <row r="750" ht="14.25" customHeight="1" s="314"/>
    <row r="751" ht="14.25" customHeight="1" s="314"/>
    <row r="752" ht="14.25" customHeight="1" s="314"/>
    <row r="753" ht="14.25" customHeight="1" s="314"/>
    <row r="754" ht="14.25" customHeight="1" s="314"/>
    <row r="755" ht="14.25" customHeight="1" s="314"/>
    <row r="756" ht="14.25" customHeight="1" s="314"/>
    <row r="757" ht="14.25" customHeight="1" s="314"/>
    <row r="758" ht="14.25" customHeight="1" s="314"/>
    <row r="759" ht="14.25" customHeight="1" s="314"/>
    <row r="760" ht="14.25" customHeight="1" s="314"/>
    <row r="761" ht="14.25" customHeight="1" s="314"/>
    <row r="762" ht="14.25" customHeight="1" s="314"/>
    <row r="763" ht="14.25" customHeight="1" s="314"/>
    <row r="764" ht="14.25" customHeight="1" s="314"/>
    <row r="765" ht="14.25" customHeight="1" s="314"/>
    <row r="766" ht="14.25" customHeight="1" s="314"/>
    <row r="767" ht="14.25" customHeight="1" s="314"/>
    <row r="768" ht="14.25" customHeight="1" s="314"/>
    <row r="769" ht="14.25" customHeight="1" s="314"/>
    <row r="770" ht="14.25" customHeight="1" s="314"/>
    <row r="771" ht="14.25" customHeight="1" s="314"/>
    <row r="772" ht="14.25" customHeight="1" s="314"/>
    <row r="773" ht="14.25" customHeight="1" s="314"/>
    <row r="774" ht="14.25" customHeight="1" s="314"/>
    <row r="775" ht="14.25" customHeight="1" s="314"/>
    <row r="776" ht="14.25" customHeight="1" s="314"/>
    <row r="777" ht="14.25" customHeight="1" s="314"/>
    <row r="778" ht="14.25" customHeight="1" s="314"/>
    <row r="779" ht="14.25" customHeight="1" s="314"/>
    <row r="780" ht="14.25" customHeight="1" s="314"/>
    <row r="781" ht="14.25" customHeight="1" s="314"/>
    <row r="782" ht="14.25" customHeight="1" s="314"/>
    <row r="783" ht="14.25" customHeight="1" s="314"/>
    <row r="784" ht="14.25" customHeight="1" s="314"/>
    <row r="785" ht="14.25" customHeight="1" s="314"/>
    <row r="786" ht="14.25" customHeight="1" s="314"/>
    <row r="787" ht="14.25" customHeight="1" s="314"/>
    <row r="788" ht="14.25" customHeight="1" s="314"/>
    <row r="789" ht="14.25" customHeight="1" s="314"/>
    <row r="790" ht="14.25" customHeight="1" s="314"/>
    <row r="791" ht="14.25" customHeight="1" s="314"/>
    <row r="792" ht="14.25" customHeight="1" s="314"/>
    <row r="793" ht="14.25" customHeight="1" s="314"/>
    <row r="794" ht="14.25" customHeight="1" s="314"/>
    <row r="795" ht="14.25" customHeight="1" s="314"/>
    <row r="796" ht="14.25" customHeight="1" s="314"/>
    <row r="797" ht="14.25" customHeight="1" s="314"/>
    <row r="798" ht="14.25" customHeight="1" s="314"/>
    <row r="799" ht="14.25" customHeight="1" s="314"/>
    <row r="800" ht="14.25" customHeight="1" s="314"/>
    <row r="801" ht="14.25" customHeight="1" s="314"/>
    <row r="802" ht="14.25" customHeight="1" s="314"/>
    <row r="803" ht="14.25" customHeight="1" s="314"/>
    <row r="804" ht="14.25" customHeight="1" s="314"/>
    <row r="805" ht="14.25" customHeight="1" s="314"/>
    <row r="806" ht="14.25" customHeight="1" s="314"/>
    <row r="807" ht="14.25" customHeight="1" s="314"/>
    <row r="808" ht="14.25" customHeight="1" s="314"/>
    <row r="809" ht="14.25" customHeight="1" s="314"/>
    <row r="810" ht="14.25" customHeight="1" s="314"/>
    <row r="811" ht="14.25" customHeight="1" s="314"/>
    <row r="812" ht="14.25" customHeight="1" s="314"/>
    <row r="813" ht="14.25" customHeight="1" s="314"/>
    <row r="814" ht="14.25" customHeight="1" s="314"/>
    <row r="815" ht="14.25" customHeight="1" s="314"/>
    <row r="816" ht="14.25" customHeight="1" s="314"/>
    <row r="817" ht="14.25" customHeight="1" s="314"/>
    <row r="818" ht="14.25" customHeight="1" s="314"/>
    <row r="819" ht="14.25" customHeight="1" s="314"/>
    <row r="820" ht="14.25" customHeight="1" s="314"/>
    <row r="821" ht="14.25" customHeight="1" s="314"/>
    <row r="822" ht="14.25" customHeight="1" s="314"/>
    <row r="823" ht="14.25" customHeight="1" s="314"/>
    <row r="824" ht="14.25" customHeight="1" s="314"/>
    <row r="825" ht="14.25" customHeight="1" s="314"/>
    <row r="826" ht="14.25" customHeight="1" s="314"/>
    <row r="827" ht="14.25" customHeight="1" s="314"/>
    <row r="828" ht="14.25" customHeight="1" s="314"/>
    <row r="829" ht="14.25" customHeight="1" s="314"/>
    <row r="830" ht="14.25" customHeight="1" s="314"/>
    <row r="831" ht="14.25" customHeight="1" s="314"/>
    <row r="832" ht="14.25" customHeight="1" s="314"/>
    <row r="833" ht="14.25" customHeight="1" s="314"/>
    <row r="834" ht="14.25" customHeight="1" s="314"/>
    <row r="835" ht="14.25" customHeight="1" s="314"/>
    <row r="836" ht="14.25" customHeight="1" s="314"/>
    <row r="837" ht="14.25" customHeight="1" s="314"/>
    <row r="838" ht="14.25" customHeight="1" s="314"/>
    <row r="839" ht="14.25" customHeight="1" s="314"/>
    <row r="840" ht="14.25" customHeight="1" s="314"/>
    <row r="841" ht="14.25" customHeight="1" s="314"/>
    <row r="842" ht="14.25" customHeight="1" s="314"/>
    <row r="843" ht="14.25" customHeight="1" s="314"/>
    <row r="844" ht="14.25" customHeight="1" s="314"/>
    <row r="845" ht="14.25" customHeight="1" s="314"/>
    <row r="846" ht="14.25" customHeight="1" s="314"/>
    <row r="847" ht="14.25" customHeight="1" s="314"/>
    <row r="848" ht="14.25" customHeight="1" s="314"/>
    <row r="849" ht="14.25" customHeight="1" s="314"/>
    <row r="850" ht="14.25" customHeight="1" s="314"/>
    <row r="851" ht="14.25" customHeight="1" s="314"/>
    <row r="852" ht="14.25" customHeight="1" s="314"/>
    <row r="853" ht="14.25" customHeight="1" s="314"/>
    <row r="854" ht="14.25" customHeight="1" s="314"/>
    <row r="855" ht="14.25" customHeight="1" s="314"/>
    <row r="856" ht="14.25" customHeight="1" s="314"/>
    <row r="857" ht="14.25" customHeight="1" s="314"/>
    <row r="858" ht="14.25" customHeight="1" s="314"/>
    <row r="859" ht="14.25" customHeight="1" s="314"/>
    <row r="860" ht="14.25" customHeight="1" s="314"/>
    <row r="861" ht="14.25" customHeight="1" s="314"/>
    <row r="862" ht="14.25" customHeight="1" s="314"/>
    <row r="863" ht="14.25" customHeight="1" s="314"/>
    <row r="864" ht="14.25" customHeight="1" s="314"/>
    <row r="865" ht="14.25" customHeight="1" s="314"/>
    <row r="866" ht="14.25" customHeight="1" s="314"/>
    <row r="867" ht="14.25" customHeight="1" s="314"/>
    <row r="868" ht="14.25" customHeight="1" s="314"/>
    <row r="869" ht="14.25" customHeight="1" s="314"/>
    <row r="870" ht="14.25" customHeight="1" s="314"/>
    <row r="871" ht="14.25" customHeight="1" s="314"/>
    <row r="872" ht="14.25" customHeight="1" s="314"/>
    <row r="873" ht="14.25" customHeight="1" s="314"/>
    <row r="874" ht="14.25" customHeight="1" s="314"/>
    <row r="875" ht="14.25" customHeight="1" s="314"/>
    <row r="876" ht="14.25" customHeight="1" s="314"/>
    <row r="877" ht="14.25" customHeight="1" s="314"/>
    <row r="878" ht="14.25" customHeight="1" s="314"/>
    <row r="879" ht="14.25" customHeight="1" s="314"/>
    <row r="880" ht="14.25" customHeight="1" s="314"/>
    <row r="881" ht="14.25" customHeight="1" s="314"/>
    <row r="882" ht="14.25" customHeight="1" s="314"/>
    <row r="883" ht="14.25" customHeight="1" s="314"/>
    <row r="884" ht="14.25" customHeight="1" s="314"/>
    <row r="885" ht="14.25" customHeight="1" s="314"/>
    <row r="886" ht="14.25" customHeight="1" s="314"/>
    <row r="887" ht="14.25" customHeight="1" s="314"/>
    <row r="888" ht="14.25" customHeight="1" s="314"/>
    <row r="889" ht="14.25" customHeight="1" s="314"/>
    <row r="890" ht="14.25" customHeight="1" s="314"/>
    <row r="891" ht="14.25" customHeight="1" s="314"/>
    <row r="892" ht="14.25" customHeight="1" s="314"/>
    <row r="893" ht="14.25" customHeight="1" s="314"/>
    <row r="894" ht="14.25" customHeight="1" s="314"/>
    <row r="895" ht="14.25" customHeight="1" s="314"/>
    <row r="896" ht="14.25" customHeight="1" s="314"/>
    <row r="897" ht="14.25" customHeight="1" s="314"/>
    <row r="898" ht="14.25" customHeight="1" s="314"/>
    <row r="899" ht="14.25" customHeight="1" s="314"/>
    <row r="900" ht="14.25" customHeight="1" s="314"/>
    <row r="901" ht="14.25" customHeight="1" s="314"/>
    <row r="902" ht="14.25" customHeight="1" s="314"/>
    <row r="903" ht="14.25" customHeight="1" s="314"/>
    <row r="904" ht="14.25" customHeight="1" s="314"/>
    <row r="905" ht="14.25" customHeight="1" s="314"/>
    <row r="906" ht="14.25" customHeight="1" s="314"/>
    <row r="907" ht="14.25" customHeight="1" s="314"/>
    <row r="908" ht="14.25" customHeight="1" s="314"/>
    <row r="909" ht="14.25" customHeight="1" s="314"/>
    <row r="910" ht="14.25" customHeight="1" s="314"/>
    <row r="911" ht="14.25" customHeight="1" s="314"/>
    <row r="912" ht="14.25" customHeight="1" s="314"/>
    <row r="913" ht="14.25" customHeight="1" s="314"/>
    <row r="914" ht="14.25" customHeight="1" s="314"/>
    <row r="915" ht="14.25" customHeight="1" s="314"/>
    <row r="916" ht="14.25" customHeight="1" s="314"/>
    <row r="917" ht="14.25" customHeight="1" s="314"/>
    <row r="918" ht="14.25" customHeight="1" s="314"/>
    <row r="919" ht="14.25" customHeight="1" s="314"/>
    <row r="920" ht="14.25" customHeight="1" s="314"/>
    <row r="921" ht="14.25" customHeight="1" s="314"/>
    <row r="922" ht="14.25" customHeight="1" s="314"/>
    <row r="923" ht="14.25" customHeight="1" s="314"/>
    <row r="924" ht="14.25" customHeight="1" s="314"/>
    <row r="925" ht="14.25" customHeight="1" s="314"/>
    <row r="926" ht="14.25" customHeight="1" s="314"/>
    <row r="927" ht="14.25" customHeight="1" s="314"/>
    <row r="928" ht="14.25" customHeight="1" s="314"/>
    <row r="929" ht="14.25" customHeight="1" s="314"/>
    <row r="930" ht="14.25" customHeight="1" s="314"/>
    <row r="931" ht="14.25" customHeight="1" s="314"/>
    <row r="932" ht="14.25" customHeight="1" s="314"/>
    <row r="933" ht="14.25" customHeight="1" s="314"/>
    <row r="934" ht="14.25" customHeight="1" s="314"/>
    <row r="935" ht="14.25" customHeight="1" s="314"/>
    <row r="936" ht="14.25" customHeight="1" s="314"/>
    <row r="937" ht="14.25" customHeight="1" s="314"/>
    <row r="938" ht="14.25" customHeight="1" s="314"/>
    <row r="939" ht="14.25" customHeight="1" s="314"/>
    <row r="940" ht="14.25" customHeight="1" s="314"/>
    <row r="941" ht="14.25" customHeight="1" s="314"/>
    <row r="942" ht="14.25" customHeight="1" s="314"/>
    <row r="943" ht="14.25" customHeight="1" s="314"/>
    <row r="944" ht="14.25" customHeight="1" s="314"/>
    <row r="945" ht="14.25" customHeight="1" s="314"/>
    <row r="946" ht="14.25" customHeight="1" s="314"/>
    <row r="947" ht="14.25" customHeight="1" s="314"/>
    <row r="948" ht="14.25" customHeight="1" s="314"/>
    <row r="949" ht="14.25" customHeight="1" s="314"/>
    <row r="950" ht="14.25" customHeight="1" s="314"/>
    <row r="951" ht="14.25" customHeight="1" s="314"/>
    <row r="952" ht="14.25" customHeight="1" s="314"/>
    <row r="953" ht="14.25" customHeight="1" s="314"/>
    <row r="954" ht="14.25" customHeight="1" s="314"/>
    <row r="955" ht="14.25" customHeight="1" s="314"/>
    <row r="956" ht="14.25" customHeight="1" s="314"/>
    <row r="957" ht="14.25" customHeight="1" s="314"/>
    <row r="958" ht="14.25" customHeight="1" s="314"/>
    <row r="959" ht="14.25" customHeight="1" s="314"/>
    <row r="960" ht="14.25" customHeight="1" s="314"/>
    <row r="961" ht="14.25" customHeight="1" s="314"/>
    <row r="962" ht="14.25" customHeight="1" s="314"/>
    <row r="963" ht="14.25" customHeight="1" s="314"/>
    <row r="964" ht="14.25" customHeight="1" s="314"/>
    <row r="965" ht="14.25" customHeight="1" s="314"/>
    <row r="966" ht="14.25" customHeight="1" s="314"/>
    <row r="967" ht="14.25" customHeight="1" s="314"/>
    <row r="968" ht="14.25" customHeight="1" s="314"/>
    <row r="969" ht="14.25" customHeight="1" s="314"/>
    <row r="970" ht="14.25" customHeight="1" s="314"/>
    <row r="971" ht="14.25" customHeight="1" s="314"/>
    <row r="972" ht="14.25" customHeight="1" s="314"/>
    <row r="973" ht="14.25" customHeight="1" s="314"/>
    <row r="974" ht="14.25" customHeight="1" s="314"/>
    <row r="975" ht="14.25" customHeight="1" s="314"/>
    <row r="976" ht="14.25" customHeight="1" s="314"/>
    <row r="977" ht="14.25" customHeight="1" s="314"/>
    <row r="978" ht="14.25" customHeight="1" s="314"/>
    <row r="979" ht="14.25" customHeight="1" s="314"/>
    <row r="980" ht="14.25" customHeight="1" s="314"/>
    <row r="981" ht="14.25" customHeight="1" s="314"/>
    <row r="982" ht="14.25" customHeight="1" s="314"/>
    <row r="983" ht="14.25" customHeight="1" s="314"/>
    <row r="984" ht="14.25" customHeight="1" s="314"/>
    <row r="985" ht="14.25" customHeight="1" s="314"/>
    <row r="986" ht="14.25" customHeight="1" s="314"/>
    <row r="987" ht="14.25" customHeight="1" s="314"/>
    <row r="988" ht="14.25" customHeight="1" s="314"/>
    <row r="989" ht="14.25" customHeight="1" s="314"/>
    <row r="990" ht="14.25" customHeight="1" s="314"/>
    <row r="991" ht="14.25" customHeight="1" s="314"/>
    <row r="992" ht="14.25" customHeight="1" s="314"/>
    <row r="993" ht="14.25" customHeight="1" s="314"/>
    <row r="994" ht="14.25" customHeight="1" s="314"/>
    <row r="995" ht="14.25" customHeight="1" s="314"/>
    <row r="996" ht="14.25" customHeight="1" s="314"/>
    <row r="997" ht="14.25" customHeight="1" s="314"/>
    <row r="998" ht="14.25" customHeight="1" s="314"/>
    <row r="999" ht="14.25" customHeight="1" s="314"/>
    <row r="1000" ht="14.25" customHeight="1" s="314"/>
  </sheetData>
  <autoFilter ref="A1:X1">
    <filterColumn colId="15" hiddenButton="0" showButton="1">
      <filters>
        <filter val="CARNES VITAL SAS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C79"/>
  <sheetViews>
    <sheetView showGridLines="0" tabSelected="1" topLeftCell="A17" workbookViewId="0">
      <selection activeCell="D53" sqref="D53"/>
    </sheetView>
  </sheetViews>
  <sheetFormatPr baseColWidth="10" defaultColWidth="14.5" defaultRowHeight="15" customHeight="1"/>
  <cols>
    <col width="8.5" customWidth="1" style="314" min="1" max="1"/>
    <col width="9.1640625" customWidth="1" style="314" min="2" max="2"/>
    <col width="9.83203125" customWidth="1" style="314" min="3" max="3"/>
    <col width="8.5" customWidth="1" style="314" min="4" max="4"/>
    <col width="4.83203125" customWidth="1" style="314" min="5" max="5"/>
    <col width="5.5" customWidth="1" style="314" min="6" max="6"/>
    <col width="6.5" customWidth="1" style="314" min="7" max="7"/>
    <col width="8" customWidth="1" style="314" min="8" max="8"/>
    <col width="7" customWidth="1" style="314" min="9" max="9"/>
    <col width="3.5" customWidth="1" style="314" min="10" max="10"/>
    <col width="19.5" customWidth="1" style="314" min="11" max="11"/>
    <col width="18.83203125" customWidth="1" style="314" min="12" max="12"/>
    <col width="12.1640625" customWidth="1" style="314" min="13" max="13"/>
    <col width="11.5" customWidth="1" style="314" min="14" max="14"/>
    <col width="13.5" customWidth="1" style="314" min="15" max="16"/>
    <col width="8.5" customWidth="1" style="314" min="17" max="17"/>
    <col width="7.5" customWidth="1" style="314" min="18" max="19"/>
    <col width="8.5" customWidth="1" style="314" min="20" max="20"/>
    <col width="13.5" customWidth="1" style="314" min="21" max="21"/>
    <col width="6" customWidth="1" style="314" min="22" max="22"/>
    <col hidden="1" width="0.5" customWidth="1" style="314" min="23" max="23"/>
    <col hidden="1" width="9.5" customWidth="1" style="314" min="24" max="24"/>
    <col hidden="1" width="0.5" customWidth="1" style="314" min="25" max="25"/>
    <col width="0.83203125" customWidth="1" style="314" min="26" max="26"/>
    <col width="0.5" customWidth="1" style="314" min="27" max="27"/>
    <col width="11.5" customWidth="1" style="314" min="28" max="28"/>
    <col width="45.5" customWidth="1" style="314" min="29" max="29"/>
  </cols>
  <sheetData>
    <row r="1" ht="19.5" customHeight="1" s="314">
      <c r="A1" s="332" t="inlineStr">
        <is>
          <t xml:space="preserve">LIQUIDACION PAGO POR CALIDAD LOTES DE CERDO </t>
        </is>
      </c>
      <c r="V1" s="14" t="n"/>
      <c r="W1" s="15" t="inlineStr">
        <is>
          <t>CRITERIOS PESO</t>
        </is>
      </c>
      <c r="X1" s="16" t="n"/>
      <c r="Y1" s="16" t="n"/>
      <c r="Z1" s="14" t="n"/>
    </row>
    <row r="2" ht="12.75" customHeight="1" s="314">
      <c r="A2" s="17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4" t="n"/>
      <c r="U2" s="14" t="n"/>
      <c r="V2" s="14" t="n"/>
      <c r="W2" s="14" t="inlineStr">
        <is>
          <t>COLAS</t>
        </is>
      </c>
      <c r="X2" s="14" t="n"/>
      <c r="Y2" s="14" t="n"/>
      <c r="Z2" s="14" t="n"/>
    </row>
    <row r="3" ht="12.75" customHeight="1" s="314">
      <c r="A3" s="19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1" t="inlineStr">
        <is>
          <t>Planta:</t>
        </is>
      </c>
      <c r="L3" s="333" t="inlineStr">
        <is>
          <t>CG</t>
        </is>
      </c>
      <c r="M3" s="334" t="n"/>
      <c r="N3" s="21" t="inlineStr">
        <is>
          <t>Codigo</t>
        </is>
      </c>
      <c r="O3" s="22" t="n">
        <v>6566</v>
      </c>
      <c r="P3" s="14" t="inlineStr">
        <is>
          <t>Proveedor:</t>
        </is>
      </c>
      <c r="Q3" s="23">
        <f>+INFO!L10</f>
        <v/>
      </c>
      <c r="R3" s="24" t="n"/>
      <c r="S3" s="25" t="n"/>
      <c r="T3" s="26" t="n"/>
      <c r="U3" s="14" t="n"/>
      <c r="V3" s="14" t="n"/>
      <c r="W3" s="27" t="inlineStr">
        <is>
          <t>vivo</t>
        </is>
      </c>
      <c r="X3" s="27" t="inlineStr">
        <is>
          <t>vivo</t>
        </is>
      </c>
      <c r="Y3" s="14" t="n"/>
      <c r="Z3" s="14" t="n"/>
    </row>
    <row r="4" ht="12.75" customHeight="1" s="314">
      <c r="A4" s="28" t="n"/>
      <c r="B4" s="29" t="inlineStr">
        <is>
          <t>Peso</t>
        </is>
      </c>
      <c r="C4" s="29" t="n"/>
      <c r="D4" s="29" t="n"/>
      <c r="E4" s="29" t="n"/>
      <c r="F4" s="29" t="n"/>
      <c r="G4" s="30" t="n"/>
      <c r="H4" s="31" t="inlineStr">
        <is>
          <t>%</t>
        </is>
      </c>
      <c r="I4" s="32" t="inlineStr">
        <is>
          <t>mm</t>
        </is>
      </c>
      <c r="J4" s="14" t="n"/>
      <c r="K4" s="21" t="inlineStr">
        <is>
          <t>Fecha llegada</t>
        </is>
      </c>
      <c r="L4" s="33" t="n">
        <v>45835.71731481481</v>
      </c>
      <c r="M4" s="34">
        <f>+INFO!C2</f>
        <v/>
      </c>
      <c r="N4" s="34" t="n"/>
      <c r="O4" s="34" t="n"/>
      <c r="P4" s="14" t="inlineStr">
        <is>
          <t>Granja:</t>
        </is>
      </c>
      <c r="Q4" s="35">
        <f>+despacho!E2</f>
        <v/>
      </c>
      <c r="R4" s="36" t="n"/>
      <c r="S4" s="37" t="n"/>
      <c r="T4" s="14" t="n"/>
      <c r="U4" s="14" t="n"/>
      <c r="V4" s="14" t="n"/>
      <c r="W4" s="27" t="inlineStr">
        <is>
          <t>&lt;79,99</t>
        </is>
      </c>
      <c r="X4" s="27" t="inlineStr">
        <is>
          <t>&gt;0</t>
        </is>
      </c>
      <c r="Y4" s="14" t="n"/>
      <c r="Z4" s="14" t="n"/>
    </row>
    <row r="5" ht="12.75" customHeight="1" s="314">
      <c r="A5" s="38" t="inlineStr">
        <is>
          <t>#</t>
        </is>
      </c>
      <c r="B5" s="39" t="inlineStr">
        <is>
          <t>KILOS</t>
        </is>
      </c>
      <c r="C5" s="39" t="n"/>
      <c r="D5" s="39" t="n"/>
      <c r="E5" s="39" t="inlineStr">
        <is>
          <t>&lt;90</t>
        </is>
      </c>
      <c r="F5" s="39" t="inlineStr">
        <is>
          <t xml:space="preserve">menor </t>
        </is>
      </c>
      <c r="G5" s="40" t="inlineStr">
        <is>
          <t>grasa</t>
        </is>
      </c>
      <c r="H5" s="41" t="inlineStr">
        <is>
          <t>magro</t>
        </is>
      </c>
      <c r="I5" s="42" t="inlineStr">
        <is>
          <t>Lomo</t>
        </is>
      </c>
      <c r="J5" s="313" t="n"/>
      <c r="K5" s="44" t="inlineStr">
        <is>
          <t>fecha pesaje</t>
        </is>
      </c>
      <c r="L5" s="45" t="n">
        <v>45835.76836805556</v>
      </c>
      <c r="M5" s="34">
        <f>+INFO!B2</f>
        <v/>
      </c>
      <c r="N5" s="46">
        <f>+M5-M4</f>
        <v/>
      </c>
      <c r="O5" s="34" t="n"/>
      <c r="Q5" s="18" t="n"/>
      <c r="R5" s="14" t="n"/>
      <c r="S5" s="14" t="n"/>
      <c r="U5" s="14" t="n"/>
      <c r="V5" s="14" t="n"/>
      <c r="W5" s="14" t="n"/>
      <c r="X5" s="14" t="n"/>
      <c r="Y5" s="14" t="n"/>
      <c r="Z5" s="14" t="n"/>
    </row>
    <row r="6" ht="12.75" customHeight="1" s="314">
      <c r="A6" s="47" t="inlineStr">
        <is>
          <t>Canal</t>
        </is>
      </c>
      <c r="B6" s="48" t="inlineStr">
        <is>
          <t>vivo</t>
        </is>
      </c>
      <c r="C6" s="48" t="inlineStr">
        <is>
          <t>caliente</t>
        </is>
      </c>
      <c r="D6" s="48" t="inlineStr">
        <is>
          <t>RFG</t>
        </is>
      </c>
      <c r="E6" s="48" t="inlineStr">
        <is>
          <t>&gt;80</t>
        </is>
      </c>
      <c r="F6" s="48" t="n">
        <v>80</v>
      </c>
      <c r="G6" s="49" t="inlineStr">
        <is>
          <t>dorsal</t>
        </is>
      </c>
      <c r="H6" s="47" t="n"/>
      <c r="I6" s="50" t="n"/>
      <c r="J6" s="313" t="n"/>
      <c r="K6" s="51" t="inlineStr">
        <is>
          <t>Fecha sacrificio</t>
        </is>
      </c>
      <c r="L6" s="33" t="n">
        <v>45836.03244212963</v>
      </c>
      <c r="M6" s="34">
        <f>+INFO!C10</f>
        <v/>
      </c>
      <c r="N6" s="46">
        <f>+(M6-M5)</f>
        <v/>
      </c>
      <c r="O6" s="34" t="n"/>
      <c r="P6" s="14" t="inlineStr">
        <is>
          <t>Comprador:</t>
        </is>
      </c>
      <c r="Q6" s="323">
        <f>+despacho!P2</f>
        <v/>
      </c>
      <c r="V6" s="313" t="n"/>
      <c r="W6" s="14" t="inlineStr">
        <is>
          <t>LIVIANOS</t>
        </is>
      </c>
      <c r="X6" s="14" t="n"/>
      <c r="Y6" s="14" t="n"/>
      <c r="Z6" s="14" t="n"/>
    </row>
    <row r="7" ht="12.75" customHeight="1" s="314">
      <c r="A7" s="52">
        <f>+despacho!C2</f>
        <v/>
      </c>
      <c r="B7" s="53">
        <f>+IF((C7/$N$15)&gt;0,(C7/$N$15)," ")</f>
        <v/>
      </c>
      <c r="C7" s="54">
        <f>+despacho!G2</f>
        <v/>
      </c>
      <c r="D7" s="54">
        <f>+despacho!I2</f>
        <v/>
      </c>
      <c r="E7" s="55">
        <f>IF(AND(B7&lt;$M$24,B7&gt;$M$25),1,0)</f>
        <v/>
      </c>
      <c r="F7" s="55">
        <f>IF(AND(B7&lt;$M$25,B7&gt;0),1,0)</f>
        <v/>
      </c>
      <c r="G7" s="56">
        <f>+despacho!J2</f>
        <v/>
      </c>
      <c r="H7" s="57">
        <f>+despacho!M2</f>
        <v/>
      </c>
      <c r="I7" s="58">
        <f>+despacho!K2</f>
        <v/>
      </c>
      <c r="J7" s="313">
        <f>+despacho!L2</f>
        <v/>
      </c>
      <c r="K7" s="51" t="inlineStr">
        <is>
          <t>Fecha despacho</t>
        </is>
      </c>
      <c r="L7" s="59" t="n"/>
      <c r="M7" s="34">
        <f>+INFO!B18</f>
        <v/>
      </c>
      <c r="N7" s="34" t="n"/>
      <c r="O7" s="46" t="n"/>
      <c r="P7" s="14" t="inlineStr">
        <is>
          <t>Facturar a:</t>
        </is>
      </c>
      <c r="Q7" s="335">
        <f>+VLOOKUP($Q$6,facturar!$A$2:$E$94,2,0)</f>
        <v/>
      </c>
      <c r="V7" s="60">
        <f>+C7-D7</f>
        <v/>
      </c>
      <c r="W7" s="27" t="inlineStr">
        <is>
          <t>vivo</t>
        </is>
      </c>
      <c r="X7" s="27" t="inlineStr">
        <is>
          <t>vivo</t>
        </is>
      </c>
      <c r="Y7" s="14" t="n"/>
      <c r="Z7" s="14" t="n"/>
      <c r="AB7" s="61" t="n"/>
    </row>
    <row r="8" ht="12.75" customHeight="1" s="314">
      <c r="A8" s="52">
        <f>+despacho!C3</f>
        <v/>
      </c>
      <c r="B8" s="53">
        <f>+IF((C8/$N$15)&gt;0,(C8/$N$15)," ")</f>
        <v/>
      </c>
      <c r="C8" s="54">
        <f>+despacho!G3</f>
        <v/>
      </c>
      <c r="D8" s="54">
        <f>+despacho!I3</f>
        <v/>
      </c>
      <c r="E8" s="55">
        <f>IF(AND(B8&lt;$M$24,B8&gt;$M$25),1,0)</f>
        <v/>
      </c>
      <c r="F8" s="55">
        <f>IF(AND(B8&lt;$M$25,B8&gt;0),1,0)</f>
        <v/>
      </c>
      <c r="G8" s="56">
        <f>+despacho!J3</f>
        <v/>
      </c>
      <c r="H8" s="57">
        <f>+despacho!M3</f>
        <v/>
      </c>
      <c r="I8" s="58">
        <f>+despacho!K3</f>
        <v/>
      </c>
      <c r="J8" s="313">
        <f>+despacho!L3</f>
        <v/>
      </c>
      <c r="K8" s="44" t="n"/>
      <c r="L8" s="59" t="n"/>
      <c r="M8" s="34">
        <f>+INFO!C18</f>
        <v/>
      </c>
      <c r="N8" s="46">
        <f>+M8-M7</f>
        <v/>
      </c>
      <c r="O8" s="62" t="n"/>
      <c r="P8" s="14" t="inlineStr">
        <is>
          <t>NIT:</t>
        </is>
      </c>
      <c r="Q8" s="321">
        <f>+VLOOKUP($Q$6,facturar!$A$2:$E$94,3,0)</f>
        <v/>
      </c>
      <c r="R8" s="322" t="n"/>
      <c r="S8" s="322" t="n"/>
      <c r="T8" s="14" t="n"/>
      <c r="U8" s="14" t="n"/>
      <c r="V8" s="60">
        <f>+C8-D8</f>
        <v/>
      </c>
      <c r="W8" s="27" t="inlineStr">
        <is>
          <t>&gt;=80,0</t>
        </is>
      </c>
      <c r="X8" s="27" t="inlineStr">
        <is>
          <t>&lt;=89,99</t>
        </is>
      </c>
      <c r="Y8" s="14" t="n"/>
      <c r="Z8" s="14" t="n"/>
      <c r="AB8" s="61" t="n"/>
    </row>
    <row r="9" ht="12.75" customHeight="1" s="314">
      <c r="A9" s="52">
        <f>+despacho!C4</f>
        <v/>
      </c>
      <c r="B9" s="53">
        <f>+IF((C9/$N$15)&gt;0,(C9/$N$15)," ")</f>
        <v/>
      </c>
      <c r="C9" s="54">
        <f>+despacho!G4</f>
        <v/>
      </c>
      <c r="D9" s="54">
        <f>+despacho!I4</f>
        <v/>
      </c>
      <c r="E9" s="55">
        <f>IF(AND(B9&lt;$M$24,B9&gt;$M$25),1,0)</f>
        <v/>
      </c>
      <c r="F9" s="55">
        <f>IF(AND(B9&lt;$M$25,B9&gt;0),1,0)</f>
        <v/>
      </c>
      <c r="G9" s="56">
        <f>+despacho!J4</f>
        <v/>
      </c>
      <c r="H9" s="57">
        <f>+despacho!M4</f>
        <v/>
      </c>
      <c r="I9" s="58">
        <f>+despacho!K4</f>
        <v/>
      </c>
      <c r="J9" s="313">
        <f>+despacho!L4</f>
        <v/>
      </c>
      <c r="K9" s="14" t="n"/>
      <c r="L9" s="14" t="n"/>
      <c r="M9" s="313" t="inlineStr">
        <is>
          <t>despacho</t>
        </is>
      </c>
      <c r="N9" s="313" t="inlineStr">
        <is>
          <t>lote</t>
        </is>
      </c>
      <c r="O9" s="14" t="n"/>
      <c r="P9" s="14" t="inlineStr">
        <is>
          <t>Dirección:</t>
        </is>
      </c>
      <c r="Q9" s="335">
        <f>+VLOOKUP($Q$6,facturar!$A$2:$E$94,4,0)</f>
        <v/>
      </c>
      <c r="V9" s="60">
        <f>+C9-D9</f>
        <v/>
      </c>
      <c r="W9" s="14" t="n"/>
      <c r="X9" s="14" t="n"/>
      <c r="Y9" s="14" t="n"/>
      <c r="Z9" s="14" t="n"/>
      <c r="AB9" s="61" t="n"/>
    </row>
    <row r="10" ht="12.75" customHeight="1" s="314">
      <c r="A10" s="52">
        <f>+despacho!C5</f>
        <v/>
      </c>
      <c r="B10" s="53">
        <f>+IF((C10/$N$15)&gt;0,(C10/$N$15)," ")</f>
        <v/>
      </c>
      <c r="C10" s="54">
        <f>+despacho!G5</f>
        <v/>
      </c>
      <c r="D10" s="54">
        <f>+despacho!I5</f>
        <v/>
      </c>
      <c r="E10" s="55">
        <f>IF(AND(B10&lt;$M$24,B10&gt;$M$25),1,0)</f>
        <v/>
      </c>
      <c r="F10" s="55">
        <f>IF(AND(B10&lt;$M$25,B10&gt;0),1,0)</f>
        <v/>
      </c>
      <c r="G10" s="56">
        <f>+despacho!J5</f>
        <v/>
      </c>
      <c r="H10" s="57">
        <f>+despacho!M5</f>
        <v/>
      </c>
      <c r="I10" s="58">
        <f>+despacho!K5</f>
        <v/>
      </c>
      <c r="J10" s="313">
        <f>+despacho!L5</f>
        <v/>
      </c>
      <c r="L10" s="63" t="inlineStr">
        <is>
          <t>No cerdos:</t>
        </is>
      </c>
      <c r="M10" s="64">
        <f>+A79</f>
        <v/>
      </c>
      <c r="N10" s="65">
        <f>+INFO!E2</f>
        <v/>
      </c>
      <c r="P10" s="14" t="inlineStr">
        <is>
          <t>Teléfono:</t>
        </is>
      </c>
      <c r="Q10" s="321">
        <f>+VLOOKUP($Q$6,facturar!$A$2:$E$94,5,0)</f>
        <v/>
      </c>
      <c r="R10" s="322" t="n"/>
      <c r="S10" s="322" t="n"/>
      <c r="T10" s="14" t="n"/>
      <c r="U10" s="14" t="n"/>
      <c r="V10" s="60">
        <f>+C10-D10</f>
        <v/>
      </c>
      <c r="W10" s="14" t="inlineStr">
        <is>
          <t>ESTANDAR</t>
        </is>
      </c>
      <c r="X10" s="14" t="n"/>
      <c r="Y10" s="14" t="n"/>
      <c r="Z10" s="14" t="n"/>
      <c r="AB10" s="61" t="n"/>
    </row>
    <row r="11" ht="12.75" customHeight="1" s="314">
      <c r="A11" s="52">
        <f>+despacho!C6</f>
        <v/>
      </c>
      <c r="B11" s="53">
        <f>+IF((C11/$N$15)&gt;0,(C11/$N$15)," ")</f>
        <v/>
      </c>
      <c r="C11" s="54">
        <f>+despacho!G6</f>
        <v/>
      </c>
      <c r="D11" s="54">
        <f>+despacho!I6</f>
        <v/>
      </c>
      <c r="E11" s="55">
        <f>IF(AND(B11&lt;$M$24,B11&gt;$M$25),1,0)</f>
        <v/>
      </c>
      <c r="F11" s="55">
        <f>IF(AND(B11&lt;$M$25,B11&gt;0),1,0)</f>
        <v/>
      </c>
      <c r="G11" s="56">
        <f>+despacho!J6</f>
        <v/>
      </c>
      <c r="H11" s="57">
        <f>+despacho!M6</f>
        <v/>
      </c>
      <c r="I11" s="58">
        <f>+despacho!K6</f>
        <v/>
      </c>
      <c r="J11" s="313">
        <f>+despacho!L6</f>
        <v/>
      </c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60">
        <f>+C11-D11</f>
        <v/>
      </c>
      <c r="W11" s="27" t="inlineStr">
        <is>
          <t>vivo</t>
        </is>
      </c>
      <c r="X11" s="27" t="inlineStr">
        <is>
          <t>vivo</t>
        </is>
      </c>
      <c r="Y11" s="14" t="n"/>
      <c r="Z11" s="14" t="n"/>
      <c r="AB11" s="61" t="n"/>
    </row>
    <row r="12" ht="12.75" customHeight="1" s="314">
      <c r="A12" s="52">
        <f>+despacho!C7</f>
        <v/>
      </c>
      <c r="B12" s="53">
        <f>+IF((C12/$N$15)&gt;0,(C12/$N$15)," ")</f>
        <v/>
      </c>
      <c r="C12" s="54">
        <f>+despacho!G7</f>
        <v/>
      </c>
      <c r="D12" s="54">
        <f>+despacho!I7</f>
        <v/>
      </c>
      <c r="E12" s="55">
        <f>IF(AND(B12&lt;$M$24,B12&gt;$M$25),1,0)</f>
        <v/>
      </c>
      <c r="F12" s="55">
        <f>IF(AND(B12&lt;$M$25,B12&gt;0),1,0)</f>
        <v/>
      </c>
      <c r="G12" s="56">
        <f>+despacho!J7</f>
        <v/>
      </c>
      <c r="H12" s="57">
        <f>+despacho!M7</f>
        <v/>
      </c>
      <c r="I12" s="58">
        <f>+despacho!K7</f>
        <v/>
      </c>
      <c r="J12" s="313">
        <f>+despacho!L7</f>
        <v/>
      </c>
      <c r="K12" s="14" t="n"/>
      <c r="L12" s="66" t="inlineStr">
        <is>
          <t>Peso vivo</t>
        </is>
      </c>
      <c r="M12" s="67" t="n"/>
      <c r="N12" s="68" t="inlineStr">
        <is>
          <t>Canal</t>
        </is>
      </c>
      <c r="O12" s="67" t="n"/>
      <c r="P12" s="69" t="n"/>
      <c r="Q12" s="70" t="n"/>
      <c r="R12" s="71" t="inlineStr">
        <is>
          <t>Grasa</t>
        </is>
      </c>
      <c r="S12" s="71" t="inlineStr">
        <is>
          <t>Magro</t>
        </is>
      </c>
      <c r="T12" s="72" t="inlineStr">
        <is>
          <t>Lomo</t>
        </is>
      </c>
      <c r="U12" s="14" t="n"/>
      <c r="V12" s="60">
        <f>+C12-D12</f>
        <v/>
      </c>
      <c r="W12" s="27" t="inlineStr">
        <is>
          <t>&gt;=89,99</t>
        </is>
      </c>
      <c r="X12" s="27" t="inlineStr">
        <is>
          <t>&lt;180</t>
        </is>
      </c>
      <c r="Y12" s="14" t="n"/>
      <c r="Z12" s="14" t="n"/>
      <c r="AB12" s="61" t="n"/>
    </row>
    <row r="13" ht="12.75" customHeight="1" s="314">
      <c r="A13" s="52">
        <f>+despacho!C8</f>
        <v/>
      </c>
      <c r="B13" s="53">
        <f>+IF((C13/$N$15)&gt;0,(C13/$N$15)," ")</f>
        <v/>
      </c>
      <c r="C13" s="54">
        <f>+despacho!G8</f>
        <v/>
      </c>
      <c r="D13" s="54">
        <f>+despacho!I8</f>
        <v/>
      </c>
      <c r="E13" s="55">
        <f>IF(AND(B13&lt;$M$24,B13&gt;$M$25),1,0)</f>
        <v/>
      </c>
      <c r="F13" s="55">
        <f>IF(AND(B13&lt;$M$25,B13&gt;0),1,0)</f>
        <v/>
      </c>
      <c r="G13" s="56">
        <f>+despacho!J8</f>
        <v/>
      </c>
      <c r="H13" s="57">
        <f>+despacho!M8</f>
        <v/>
      </c>
      <c r="I13" s="58">
        <f>+despacho!K8</f>
        <v/>
      </c>
      <c r="J13" s="313">
        <f>+despacho!L8</f>
        <v/>
      </c>
      <c r="K13" s="14" t="n"/>
      <c r="L13" s="73" t="inlineStr">
        <is>
          <t>Lote</t>
        </is>
      </c>
      <c r="M13" s="73" t="inlineStr">
        <is>
          <t>Prom</t>
        </is>
      </c>
      <c r="N13" s="73" t="inlineStr">
        <is>
          <t>caliente</t>
        </is>
      </c>
      <c r="O13" s="73" t="inlineStr">
        <is>
          <t>RFG</t>
        </is>
      </c>
      <c r="P13" s="74" t="inlineStr">
        <is>
          <t>merma</t>
        </is>
      </c>
      <c r="Q13" s="75" t="inlineStr">
        <is>
          <t>Kg/cerdo</t>
        </is>
      </c>
      <c r="R13" s="73" t="inlineStr">
        <is>
          <t>mm</t>
        </is>
      </c>
      <c r="S13" s="73" t="inlineStr">
        <is>
          <t>%</t>
        </is>
      </c>
      <c r="T13" s="76" t="inlineStr">
        <is>
          <t>mm</t>
        </is>
      </c>
      <c r="U13" s="14" t="n"/>
      <c r="V13" s="60">
        <f>+C13-D13</f>
        <v/>
      </c>
      <c r="W13" s="14" t="n"/>
      <c r="X13" s="14" t="n"/>
      <c r="Y13" s="14" t="n"/>
      <c r="Z13" s="14" t="n"/>
      <c r="AB13" s="61" t="n"/>
    </row>
    <row r="14" ht="12.75" customHeight="1" s="314">
      <c r="A14" s="52">
        <f>+despacho!C9</f>
        <v/>
      </c>
      <c r="B14" s="53">
        <f>+IF((C14/$N$15)&gt;0,(C14/$N$15)," ")</f>
        <v/>
      </c>
      <c r="C14" s="54">
        <f>+despacho!G9</f>
        <v/>
      </c>
      <c r="D14" s="54">
        <f>+despacho!I9</f>
        <v/>
      </c>
      <c r="E14" s="55">
        <f>IF(AND(B14&lt;$M$24,B14&gt;$M$25),1,0)</f>
        <v/>
      </c>
      <c r="F14" s="55">
        <f>IF(AND(B14&lt;$M$25,B14&gt;0),1,0)</f>
        <v/>
      </c>
      <c r="G14" s="56">
        <f>+despacho!J9</f>
        <v/>
      </c>
      <c r="H14" s="57">
        <f>+despacho!M9</f>
        <v/>
      </c>
      <c r="I14" s="58">
        <f>+despacho!K9</f>
        <v/>
      </c>
      <c r="J14" s="313">
        <f>+despacho!L9</f>
        <v/>
      </c>
      <c r="K14" s="77" t="inlineStr">
        <is>
          <t>lote</t>
        </is>
      </c>
      <c r="L14" s="78">
        <f>+INFO!G2</f>
        <v/>
      </c>
      <c r="M14" s="79">
        <f>+L14/N10</f>
        <v/>
      </c>
      <c r="N14" s="78">
        <f>+INFO!F10*INFO!B10</f>
        <v/>
      </c>
      <c r="O14" s="78">
        <f>+INFO!G10*INFO!B10</f>
        <v/>
      </c>
      <c r="P14" s="80">
        <f>+(N14-O14)/N14</f>
        <v/>
      </c>
      <c r="Q14" s="81">
        <f>+(N14-O14)/N10</f>
        <v/>
      </c>
      <c r="R14" s="82">
        <f>+INFO!J10</f>
        <v/>
      </c>
      <c r="S14" s="83">
        <f>+INFO!I10</f>
        <v/>
      </c>
      <c r="T14" s="84">
        <f>+INFO!H10</f>
        <v/>
      </c>
      <c r="U14" s="14" t="n"/>
      <c r="V14" s="60">
        <f>+C14-D14</f>
        <v/>
      </c>
      <c r="W14" s="14" t="n"/>
      <c r="X14" s="14" t="n"/>
      <c r="Y14" s="14" t="n"/>
      <c r="Z14" s="14" t="n"/>
      <c r="AB14" s="61" t="n"/>
    </row>
    <row r="15" ht="12.75" customHeight="1" s="314">
      <c r="A15" s="52">
        <f>+despacho!C10</f>
        <v/>
      </c>
      <c r="B15" s="53">
        <f>+IF((C15/$N$15)&gt;0,(C15/$N$15)," ")</f>
        <v/>
      </c>
      <c r="C15" s="54">
        <f>+despacho!G10</f>
        <v/>
      </c>
      <c r="D15" s="54">
        <f>+despacho!I10</f>
        <v/>
      </c>
      <c r="E15" s="55">
        <f>IF(AND(B15&lt;$M$24,B15&gt;$M$25),1,0)</f>
        <v/>
      </c>
      <c r="F15" s="55">
        <f>IF(AND(B15&lt;$M$25,B15&gt;0),1,0)</f>
        <v/>
      </c>
      <c r="G15" s="56">
        <f>+despacho!J10</f>
        <v/>
      </c>
      <c r="H15" s="57">
        <f>+despacho!M10</f>
        <v/>
      </c>
      <c r="I15" s="58">
        <f>+despacho!K10</f>
        <v/>
      </c>
      <c r="J15" s="313">
        <f>+despacho!L10</f>
        <v/>
      </c>
      <c r="K15" s="313" t="n"/>
      <c r="L15" s="85" t="n"/>
      <c r="M15" s="86" t="n"/>
      <c r="N15" s="87">
        <f>+INFO!D10/100</f>
        <v/>
      </c>
      <c r="O15" s="87">
        <f>+O14/L14</f>
        <v/>
      </c>
      <c r="P15" s="88" t="n"/>
      <c r="Q15" s="89" t="n"/>
      <c r="R15" s="86" t="n"/>
      <c r="S15" s="90" t="n"/>
      <c r="T15" s="91" t="n"/>
      <c r="U15" s="14" t="n"/>
      <c r="V15" s="60">
        <f>+C15-D15</f>
        <v/>
      </c>
      <c r="W15" s="15" t="inlineStr">
        <is>
          <t>CRITERIOS GRASA</t>
        </is>
      </c>
      <c r="X15" s="15" t="n"/>
      <c r="Y15" s="16" t="n"/>
      <c r="Z15" s="14" t="n"/>
      <c r="AB15" s="61" t="n"/>
    </row>
    <row r="16" ht="12.75" customHeight="1" s="314">
      <c r="A16" s="52">
        <f>+despacho!C11</f>
        <v/>
      </c>
      <c r="B16" s="53">
        <f>+IF((C16/$N$15)&gt;0,(C16/$N$15)," ")</f>
        <v/>
      </c>
      <c r="C16" s="54">
        <f>+despacho!G11</f>
        <v/>
      </c>
      <c r="D16" s="54">
        <f>+despacho!I11</f>
        <v/>
      </c>
      <c r="E16" s="55">
        <f>IF(AND(B16&lt;$M$24,B16&gt;$M$25),1,0)</f>
        <v/>
      </c>
      <c r="F16" s="55">
        <f>IF(AND(B16&lt;$M$25,B16&gt;0),1,0)</f>
        <v/>
      </c>
      <c r="G16" s="56">
        <f>+despacho!J11</f>
        <v/>
      </c>
      <c r="H16" s="57">
        <f>+despacho!M11</f>
        <v/>
      </c>
      <c r="I16" s="58">
        <f>+despacho!K11</f>
        <v/>
      </c>
      <c r="J16" s="313">
        <f>+despacho!L11</f>
        <v/>
      </c>
      <c r="K16" s="92" t="inlineStr">
        <is>
          <t>entrega</t>
        </is>
      </c>
      <c r="L16" s="93">
        <f>+B79</f>
        <v/>
      </c>
      <c r="M16" s="94">
        <f>+L16/M10</f>
        <v/>
      </c>
      <c r="N16" s="95">
        <f>+C79</f>
        <v/>
      </c>
      <c r="O16" s="95">
        <f>+D79</f>
        <v/>
      </c>
      <c r="P16" s="96">
        <f>+(N16-O16)/N16</f>
        <v/>
      </c>
      <c r="Q16" s="81">
        <f>+(N16-O16)/M10</f>
        <v/>
      </c>
      <c r="R16" s="97">
        <f>+G79/M10</f>
        <v/>
      </c>
      <c r="S16" s="97">
        <f>+H79/M10</f>
        <v/>
      </c>
      <c r="T16" s="97">
        <f>+I79/M10</f>
        <v/>
      </c>
      <c r="U16" s="14" t="n"/>
      <c r="V16" s="60">
        <f>+C16-D16</f>
        <v/>
      </c>
      <c r="W16" s="15" t="n"/>
      <c r="X16" s="15" t="n"/>
      <c r="Y16" s="16" t="n"/>
      <c r="Z16" s="14" t="n"/>
      <c r="AB16" s="61" t="n"/>
    </row>
    <row r="17" ht="12.75" customHeight="1" s="314">
      <c r="A17" s="52">
        <f>+despacho!C12</f>
        <v/>
      </c>
      <c r="B17" s="53">
        <f>+IF((C17/$N$15)&gt;0,(C17/$N$15)," ")</f>
        <v/>
      </c>
      <c r="C17" s="54">
        <f>+despacho!G12</f>
        <v/>
      </c>
      <c r="D17" s="54">
        <f>+despacho!I12</f>
        <v/>
      </c>
      <c r="E17" s="55">
        <f>IF(AND(B17&lt;$M$24,B17&gt;$M$25),1,0)</f>
        <v/>
      </c>
      <c r="F17" s="55">
        <f>IF(AND(B17&lt;$M$25,B17&gt;0),1,0)</f>
        <v/>
      </c>
      <c r="G17" s="56">
        <f>+despacho!J12</f>
        <v/>
      </c>
      <c r="H17" s="57">
        <f>+despacho!M12</f>
        <v/>
      </c>
      <c r="I17" s="58">
        <f>+despacho!K12</f>
        <v/>
      </c>
      <c r="J17" s="313">
        <f>+despacho!L12</f>
        <v/>
      </c>
      <c r="K17" s="14" t="n"/>
      <c r="L17" s="98" t="n"/>
      <c r="M17" s="99" t="n"/>
      <c r="N17" s="100">
        <f>+N16/L16</f>
        <v/>
      </c>
      <c r="O17" s="101">
        <f>+O16/L16</f>
        <v/>
      </c>
      <c r="P17" s="102" t="n"/>
      <c r="R17" s="103" t="n"/>
      <c r="S17" s="104" t="n"/>
      <c r="T17" s="105" t="n"/>
      <c r="U17" s="14" t="n"/>
      <c r="V17" s="60">
        <f>+C17-D17</f>
        <v/>
      </c>
      <c r="W17" s="14" t="inlineStr">
        <is>
          <t>TOCINUDO 1</t>
        </is>
      </c>
      <c r="X17" s="14" t="n"/>
      <c r="Y17" s="14" t="n"/>
      <c r="Z17" s="14" t="n"/>
      <c r="AB17" s="61" t="n"/>
    </row>
    <row r="18" ht="12.75" customHeight="1" s="314">
      <c r="A18" s="52">
        <f>+despacho!C13</f>
        <v/>
      </c>
      <c r="B18" s="53">
        <f>+IF((C18/$N$15)&gt;0,(C18/$N$15)," ")</f>
        <v/>
      </c>
      <c r="C18" s="54">
        <f>+despacho!G13</f>
        <v/>
      </c>
      <c r="D18" s="54">
        <f>+despacho!I13</f>
        <v/>
      </c>
      <c r="E18" s="55">
        <f>IF(AND(B18&lt;$M$24,B18&gt;$M$25),1,0)</f>
        <v/>
      </c>
      <c r="F18" s="55">
        <f>IF(AND(B18&lt;$M$25,B18&gt;0),1,0)</f>
        <v/>
      </c>
      <c r="G18" s="56">
        <f>+despacho!J13</f>
        <v/>
      </c>
      <c r="H18" s="57">
        <f>+despacho!M13</f>
        <v/>
      </c>
      <c r="I18" s="58">
        <f>+despacho!K13</f>
        <v/>
      </c>
      <c r="J18" s="313">
        <f>+despacho!L13</f>
        <v/>
      </c>
      <c r="K18" s="14" t="n"/>
      <c r="L18" s="14" t="n"/>
      <c r="M18" s="14" t="n"/>
      <c r="N18" s="106">
        <f>+O46</f>
        <v/>
      </c>
      <c r="O18" s="107">
        <f>+O47</f>
        <v/>
      </c>
      <c r="R18" s="108" t="inlineStr">
        <is>
          <t>H</t>
        </is>
      </c>
      <c r="S18" s="14" t="n"/>
      <c r="T18" s="14" t="n"/>
      <c r="U18" s="109">
        <f>+P48/(S14/100*N14)</f>
        <v/>
      </c>
      <c r="V18" s="60">
        <f>+C18-D18</f>
        <v/>
      </c>
      <c r="W18" s="110" t="inlineStr">
        <is>
          <t>dorsal</t>
        </is>
      </c>
      <c r="X18" s="111" t="inlineStr">
        <is>
          <t>dorsal</t>
        </is>
      </c>
      <c r="Y18" s="111" t="inlineStr">
        <is>
          <t>vivo</t>
        </is>
      </c>
      <c r="Z18" s="14" t="n"/>
      <c r="AB18" s="61" t="n"/>
    </row>
    <row r="19" ht="12.75" customHeight="1" s="314">
      <c r="A19" s="52">
        <f>+despacho!C14</f>
        <v/>
      </c>
      <c r="B19" s="53">
        <f>+IF((C19/$N$15)&gt;0,(C19/$N$15)," ")</f>
        <v/>
      </c>
      <c r="C19" s="54">
        <f>+despacho!G14</f>
        <v/>
      </c>
      <c r="D19" s="54">
        <f>+despacho!I14</f>
        <v/>
      </c>
      <c r="E19" s="55">
        <f>IF(AND(B19&lt;$M$24,B19&gt;$M$25),1,0)</f>
        <v/>
      </c>
      <c r="F19" s="55">
        <f>IF(AND(B19&lt;$M$25,B19&gt;0),1,0)</f>
        <v/>
      </c>
      <c r="G19" s="56">
        <f>+despacho!J14</f>
        <v/>
      </c>
      <c r="H19" s="57">
        <f>+despacho!M14</f>
        <v/>
      </c>
      <c r="I19" s="58">
        <f>+despacho!K14</f>
        <v/>
      </c>
      <c r="J19" s="313">
        <f>+despacho!L14</f>
        <v/>
      </c>
      <c r="K19" s="14" t="n"/>
      <c r="L19" s="14" t="n"/>
      <c r="M19" s="14" t="n"/>
      <c r="N19" s="112" t="n"/>
      <c r="O19" s="112" t="n"/>
      <c r="P19" s="14" t="n"/>
      <c r="Q19" s="108" t="n"/>
      <c r="R19" s="108" t="inlineStr">
        <is>
          <t>MIC</t>
        </is>
      </c>
      <c r="S19" s="14" t="n"/>
      <c r="T19" s="14" t="n"/>
      <c r="U19" s="14" t="n"/>
      <c r="V19" s="60">
        <f>+C19-D19</f>
        <v/>
      </c>
      <c r="W19" s="110" t="inlineStr">
        <is>
          <t>&lt;22</t>
        </is>
      </c>
      <c r="X19" s="111" t="inlineStr">
        <is>
          <t>&gt;=18</t>
        </is>
      </c>
      <c r="Y19" s="111" t="inlineStr">
        <is>
          <t>&lt;=180</t>
        </is>
      </c>
      <c r="Z19" s="14" t="n"/>
      <c r="AB19" s="61" t="n"/>
    </row>
    <row r="20" ht="12.75" customHeight="1" s="314">
      <c r="A20" s="52">
        <f>+despacho!C15</f>
        <v/>
      </c>
      <c r="B20" s="53">
        <f>+IF((C20/$N$15)&gt;0,(C20/$N$15)," ")</f>
        <v/>
      </c>
      <c r="C20" s="54">
        <f>+despacho!G15</f>
        <v/>
      </c>
      <c r="D20" s="54">
        <f>+despacho!I15</f>
        <v/>
      </c>
      <c r="E20" s="55">
        <f>IF(AND(B20&lt;$M$24,B20&gt;$M$25),1,0)</f>
        <v/>
      </c>
      <c r="F20" s="55">
        <f>IF(AND(B20&lt;$M$25,B20&gt;0),1,0)</f>
        <v/>
      </c>
      <c r="G20" s="56">
        <f>+despacho!J15</f>
        <v/>
      </c>
      <c r="H20" s="57">
        <f>+despacho!M15</f>
        <v/>
      </c>
      <c r="I20" s="58">
        <f>+despacho!K15</f>
        <v/>
      </c>
      <c r="J20" s="313">
        <f>+despacho!L15</f>
        <v/>
      </c>
      <c r="K20" s="113" t="inlineStr">
        <is>
          <t>RENDIMIENTO</t>
        </is>
      </c>
      <c r="L20" s="114" t="inlineStr">
        <is>
          <t>Rango de Control</t>
        </is>
      </c>
      <c r="M20" s="115" t="n"/>
      <c r="N20" s="116" t="n"/>
      <c r="O20" s="117" t="n"/>
      <c r="P20" s="118" t="inlineStr">
        <is>
          <t>%</t>
        </is>
      </c>
      <c r="Q20" s="119" t="inlineStr">
        <is>
          <t>castigo o</t>
        </is>
      </c>
      <c r="R20" s="120" t="n"/>
      <c r="S20" s="121" t="inlineStr">
        <is>
          <t>Tole-</t>
        </is>
      </c>
      <c r="T20" s="122" t="inlineStr">
        <is>
          <t>$/Kg</t>
        </is>
      </c>
      <c r="U20" s="123" t="inlineStr">
        <is>
          <t>Valor cerdos</t>
        </is>
      </c>
      <c r="V20" s="60">
        <f>+C20-D20</f>
        <v/>
      </c>
      <c r="W20" s="14" t="n"/>
      <c r="X20" s="14" t="n"/>
      <c r="Y20" s="14" t="n"/>
      <c r="Z20" s="14" t="n"/>
      <c r="AB20" s="61" t="n"/>
    </row>
    <row r="21" ht="12.75" customHeight="1" s="314">
      <c r="A21" s="52">
        <f>+despacho!C16</f>
        <v/>
      </c>
      <c r="B21" s="53">
        <f>+IF((C21/$N$15)&gt;0,(C21/$N$15)," ")</f>
        <v/>
      </c>
      <c r="C21" s="54">
        <f>+despacho!G16</f>
        <v/>
      </c>
      <c r="D21" s="54">
        <f>+despacho!I16</f>
        <v/>
      </c>
      <c r="E21" s="55">
        <f>IF(AND(B21&lt;$M$24,B21&gt;$M$25),1,0)</f>
        <v/>
      </c>
      <c r="F21" s="55">
        <f>IF(AND(B21&lt;$M$25,B21&gt;0),1,0)</f>
        <v/>
      </c>
      <c r="G21" s="56">
        <f>+despacho!J16</f>
        <v/>
      </c>
      <c r="H21" s="57">
        <f>+despacho!M16</f>
        <v/>
      </c>
      <c r="I21" s="58">
        <f>+despacho!K16</f>
        <v/>
      </c>
      <c r="J21" s="313">
        <f>+despacho!L16</f>
        <v/>
      </c>
      <c r="K21" s="124" t="inlineStr">
        <is>
          <t>LOTE</t>
        </is>
      </c>
      <c r="L21" s="125" t="inlineStr">
        <is>
          <t>mínimo</t>
        </is>
      </c>
      <c r="M21" s="125" t="inlineStr">
        <is>
          <t>máximo</t>
        </is>
      </c>
      <c r="N21" s="126" t="inlineStr">
        <is>
          <t>KGS</t>
        </is>
      </c>
      <c r="O21" s="126" t="inlineStr">
        <is>
          <t># CERDOS</t>
        </is>
      </c>
      <c r="P21" s="318" t="inlineStr">
        <is>
          <t>Kgs</t>
        </is>
      </c>
      <c r="Q21" s="128" t="inlineStr">
        <is>
          <t xml:space="preserve">bonificacion/kg </t>
        </is>
      </c>
      <c r="R21" s="63" t="n"/>
      <c r="S21" s="129" t="inlineStr">
        <is>
          <t>rancia</t>
        </is>
      </c>
      <c r="T21" s="130" t="n"/>
      <c r="U21" s="129" t="inlineStr">
        <is>
          <t>/categoria</t>
        </is>
      </c>
      <c r="V21" s="60">
        <f>+C21-D21</f>
        <v/>
      </c>
      <c r="W21" s="14" t="inlineStr">
        <is>
          <t>TOCINUDO 2</t>
        </is>
      </c>
      <c r="X21" s="14" t="n"/>
      <c r="Y21" s="14" t="n"/>
      <c r="Z21" s="14" t="n"/>
      <c r="AB21" s="61" t="n"/>
    </row>
    <row r="22" ht="12.75" customHeight="1" s="314">
      <c r="A22" s="52">
        <f>+despacho!C17</f>
        <v/>
      </c>
      <c r="B22" s="53">
        <f>+IF((C22/$N$15)&gt;0,(C22/$N$15)," ")</f>
        <v/>
      </c>
      <c r="C22" s="54">
        <f>+despacho!G17</f>
        <v/>
      </c>
      <c r="D22" s="54">
        <f>+despacho!I17</f>
        <v/>
      </c>
      <c r="E22" s="55">
        <f>IF(AND(B22&lt;$M$24,B22&gt;$M$25),1,0)</f>
        <v/>
      </c>
      <c r="F22" s="55">
        <f>IF(AND(B22&lt;$M$25,B22&gt;0),1,0)</f>
        <v/>
      </c>
      <c r="G22" s="56">
        <f>+despacho!J17</f>
        <v/>
      </c>
      <c r="H22" s="57">
        <f>+despacho!M17</f>
        <v/>
      </c>
      <c r="I22" s="58">
        <f>+despacho!K17</f>
        <v/>
      </c>
      <c r="J22" s="313">
        <f>+despacho!L17</f>
        <v/>
      </c>
      <c r="K22" s="131" t="n"/>
      <c r="L22" s="132" t="n">
        <v>0.83</v>
      </c>
      <c r="M22" s="133" t="n">
        <v>0.835</v>
      </c>
      <c r="N22" s="134" t="n"/>
      <c r="O22" s="135" t="n"/>
      <c r="P22" s="136" t="n"/>
      <c r="Q22" s="137" t="n">
        <v>80</v>
      </c>
      <c r="R22" s="138" t="inlineStr">
        <is>
          <t xml:space="preserve"> /1%</t>
        </is>
      </c>
      <c r="S22" s="139" t="n"/>
      <c r="T22" s="140">
        <f>+IF(N15&gt;M22,Q22*(N15-M22)*100,IF(N15&lt;L22,Q22*(N15-L22)*100))</f>
        <v/>
      </c>
      <c r="U22" s="141">
        <f>+T22*L16</f>
        <v/>
      </c>
      <c r="V22" s="60">
        <f>+C22-D22</f>
        <v/>
      </c>
      <c r="W22" s="111" t="inlineStr">
        <is>
          <t>dorsal</t>
        </is>
      </c>
      <c r="X22" s="111" t="inlineStr">
        <is>
          <t>vivo</t>
        </is>
      </c>
      <c r="Y22" s="14" t="n"/>
      <c r="Z22" s="14" t="n"/>
      <c r="AB22" s="61" t="n"/>
    </row>
    <row r="23" ht="12.75" customHeight="1" s="314">
      <c r="A23" s="52">
        <f>+despacho!C18</f>
        <v/>
      </c>
      <c r="B23" s="53">
        <f>+IF((C23/$N$15)&gt;0,(C23/$N$15)," ")</f>
        <v/>
      </c>
      <c r="C23" s="54">
        <f>+despacho!G18</f>
        <v/>
      </c>
      <c r="D23" s="54">
        <f>+despacho!I18</f>
        <v/>
      </c>
      <c r="E23" s="55">
        <f>IF(AND(B23&lt;$M$24,B23&gt;$M$25),1,0)</f>
        <v/>
      </c>
      <c r="F23" s="55">
        <f>IF(AND(B23&lt;$M$25,B23&gt;0),1,0)</f>
        <v/>
      </c>
      <c r="G23" s="56">
        <f>+despacho!J18</f>
        <v/>
      </c>
      <c r="H23" s="57">
        <f>+despacho!M18</f>
        <v/>
      </c>
      <c r="I23" s="58">
        <f>+despacho!K18</f>
        <v/>
      </c>
      <c r="J23" s="313">
        <f>+despacho!L18</f>
        <v/>
      </c>
      <c r="K23" s="142" t="inlineStr">
        <is>
          <t>Estandar</t>
        </is>
      </c>
      <c r="L23" s="143" t="n">
        <v>90</v>
      </c>
      <c r="M23" s="143" t="n">
        <v>140</v>
      </c>
      <c r="N23" s="144">
        <f>DSUM($B$6:$G$78,1,W11:X12)</f>
        <v/>
      </c>
      <c r="O23" s="145">
        <f>DCOUNT($B$6:$G$78,1,W11:X12)</f>
        <v/>
      </c>
      <c r="P23" s="146">
        <f>+N23/$N$26</f>
        <v/>
      </c>
      <c r="Q23" s="146" t="n">
        <v>0</v>
      </c>
      <c r="R23" s="147" t="n"/>
      <c r="S23" s="147" t="n"/>
      <c r="T23" s="148">
        <f>+M35</f>
        <v/>
      </c>
      <c r="U23" s="149" t="n">
        <v>0</v>
      </c>
      <c r="V23" s="60">
        <f>+C23-D23</f>
        <v/>
      </c>
      <c r="W23" s="111" t="inlineStr">
        <is>
          <t>&gt;=22</t>
        </is>
      </c>
      <c r="X23" s="111" t="inlineStr">
        <is>
          <t>&gt;90</t>
        </is>
      </c>
      <c r="Y23" s="14" t="n"/>
      <c r="Z23" s="14" t="n"/>
      <c r="AB23" s="61" t="n">
        <v>10800</v>
      </c>
    </row>
    <row r="24" ht="12.75" customHeight="1" s="314">
      <c r="A24" s="52">
        <f>+despacho!C19</f>
        <v/>
      </c>
      <c r="B24" s="53">
        <f>+IF((C24/$N$15)&gt;0,(C24/$N$15)," ")</f>
        <v/>
      </c>
      <c r="C24" s="54">
        <f>+despacho!G19</f>
        <v/>
      </c>
      <c r="D24" s="54">
        <f>+despacho!I19</f>
        <v/>
      </c>
      <c r="E24" s="55">
        <f>IF(AND(B24&lt;$M$24,B24&gt;$M$25),1,0)</f>
        <v/>
      </c>
      <c r="F24" s="55">
        <f>IF(AND(B24&lt;$M$25,B24&gt;0),1,0)</f>
        <v/>
      </c>
      <c r="G24" s="56">
        <f>+despacho!J19</f>
        <v/>
      </c>
      <c r="H24" s="57">
        <f>+despacho!M19</f>
        <v/>
      </c>
      <c r="I24" s="58">
        <f>+despacho!K19</f>
        <v/>
      </c>
      <c r="J24" s="313">
        <f>+despacho!L19</f>
        <v/>
      </c>
      <c r="K24" s="150" t="inlineStr">
        <is>
          <t>Livianos</t>
        </is>
      </c>
      <c r="L24" s="151" t="n">
        <v>80</v>
      </c>
      <c r="M24" s="152" t="n">
        <v>89.98999999999999</v>
      </c>
      <c r="N24" s="153">
        <f>DSUM($B$6:$G$78,1,W7:X8)</f>
        <v/>
      </c>
      <c r="O24" s="154">
        <f>DCOUNT($B$6:$G$78,1,W7:X8)</f>
        <v/>
      </c>
      <c r="P24" s="155">
        <f>+N24/$N$26</f>
        <v/>
      </c>
      <c r="Q24" s="155" t="n">
        <v>0.1</v>
      </c>
      <c r="R24" s="156" t="n"/>
      <c r="S24" s="155" t="n">
        <v>0.1</v>
      </c>
      <c r="T24" s="157">
        <f>+M35*(1-Q24)</f>
        <v/>
      </c>
      <c r="U24" s="158">
        <f>+IF(O24&gt;N10*S24,N24*(-$M$35+T24),T24*0)</f>
        <v/>
      </c>
      <c r="V24" s="60">
        <f>+C24-D24</f>
        <v/>
      </c>
      <c r="W24" s="14" t="n"/>
      <c r="X24" s="14" t="n"/>
      <c r="Y24" s="14" t="n"/>
      <c r="Z24" s="14" t="n"/>
      <c r="AB24" s="61" t="n"/>
    </row>
    <row r="25" ht="12.75" customHeight="1" s="314">
      <c r="A25" s="52">
        <f>+despacho!C20</f>
        <v/>
      </c>
      <c r="B25" s="53">
        <f>+IF((C25/$N$15)&gt;0,(C25/$N$15)," ")</f>
        <v/>
      </c>
      <c r="C25" s="54">
        <f>+despacho!G20</f>
        <v/>
      </c>
      <c r="D25" s="54">
        <f>+despacho!I20</f>
        <v/>
      </c>
      <c r="E25" s="55">
        <f>IF(AND(B25&lt;$M$24,B25&gt;$M$25),1,0)</f>
        <v/>
      </c>
      <c r="F25" s="55">
        <f>IF(AND(B25&lt;$M$25,B25&gt;0),1,0)</f>
        <v/>
      </c>
      <c r="G25" s="56">
        <f>+despacho!J20</f>
        <v/>
      </c>
      <c r="H25" s="57">
        <f>+despacho!M20</f>
        <v/>
      </c>
      <c r="I25" s="58">
        <f>+despacho!K20</f>
        <v/>
      </c>
      <c r="J25" s="313">
        <f>+despacho!L20</f>
        <v/>
      </c>
      <c r="K25" s="150" t="inlineStr">
        <is>
          <t>Colas</t>
        </is>
      </c>
      <c r="L25" s="159" t="inlineStr">
        <is>
          <t>&lt;</t>
        </is>
      </c>
      <c r="M25" s="152" t="n">
        <v>79.98999999999999</v>
      </c>
      <c r="N25" s="160">
        <f>DSUM($B$6:$G$78,1,W3:X4)</f>
        <v/>
      </c>
      <c r="O25" s="161">
        <f>DCOUNT($B$6:$G$78,1,W3:X4)</f>
        <v/>
      </c>
      <c r="P25" s="162">
        <f>+N25/$N$26</f>
        <v/>
      </c>
      <c r="Q25" s="162" t="n">
        <v>0.25</v>
      </c>
      <c r="R25" s="163" t="n"/>
      <c r="S25" s="162" t="n">
        <v>0</v>
      </c>
      <c r="T25" s="164">
        <f>+M35*(1-Q25)</f>
        <v/>
      </c>
      <c r="U25" s="158">
        <f>+IF(O25&gt;N11*S25,N25*(-$M$35+T25),T25*0)</f>
        <v/>
      </c>
      <c r="V25" s="60">
        <f>+C25-D25</f>
        <v/>
      </c>
      <c r="W25" s="14" t="inlineStr">
        <is>
          <t>ESTANDAR</t>
        </is>
      </c>
      <c r="X25" s="14" t="n"/>
      <c r="Y25" s="14" t="n"/>
      <c r="Z25" s="14" t="n"/>
      <c r="AB25" s="61">
        <f>+N15*AB23/84</f>
        <v/>
      </c>
    </row>
    <row r="26" ht="12.75" customHeight="1" s="314">
      <c r="A26" s="52">
        <f>+despacho!C21</f>
        <v/>
      </c>
      <c r="B26" s="53">
        <f>+IF((C26/$N$15)&gt;0,(C26/$N$15)," ")</f>
        <v/>
      </c>
      <c r="C26" s="54">
        <f>+despacho!G21</f>
        <v/>
      </c>
      <c r="D26" s="54">
        <f>+despacho!I21</f>
        <v/>
      </c>
      <c r="E26" s="55">
        <f>IF(AND(B26&lt;$M$24,B26&gt;$M$25),1,0)</f>
        <v/>
      </c>
      <c r="F26" s="55">
        <f>IF(AND(B26&lt;$M$25,B26&gt;0),1,0)</f>
        <v/>
      </c>
      <c r="G26" s="56">
        <f>+despacho!J21</f>
        <v/>
      </c>
      <c r="H26" s="57">
        <f>+despacho!M21</f>
        <v/>
      </c>
      <c r="I26" s="58">
        <f>+despacho!K21</f>
        <v/>
      </c>
      <c r="J26" s="313">
        <f>+despacho!L21</f>
        <v/>
      </c>
      <c r="K26" s="165" t="inlineStr">
        <is>
          <t>Total lote</t>
        </is>
      </c>
      <c r="L26" s="166" t="n"/>
      <c r="M26" s="166" t="n"/>
      <c r="N26" s="167">
        <f>SUM(N23:N25)</f>
        <v/>
      </c>
      <c r="O26" s="168">
        <f>SUM(O23:O25)</f>
        <v/>
      </c>
      <c r="P26" s="169">
        <f>+N26/$N$26</f>
        <v/>
      </c>
      <c r="Q26" s="170" t="n"/>
      <c r="R26" s="170" t="n"/>
      <c r="S26" s="170" t="n"/>
      <c r="T26" s="171" t="n"/>
      <c r="U26" s="172">
        <f>SUM(U23:U25)</f>
        <v/>
      </c>
      <c r="V26" s="60">
        <f>+C26-D26</f>
        <v/>
      </c>
      <c r="W26" s="111" t="inlineStr">
        <is>
          <t>dorsal</t>
        </is>
      </c>
      <c r="X26" s="111" t="inlineStr">
        <is>
          <t>vivo</t>
        </is>
      </c>
      <c r="Y26" s="14" t="n"/>
      <c r="Z26" s="14" t="n"/>
      <c r="AB26" s="61" t="n"/>
    </row>
    <row r="27" ht="12.75" customHeight="1" s="314">
      <c r="A27" s="52">
        <f>+despacho!C22</f>
        <v/>
      </c>
      <c r="B27" s="53">
        <f>+IF((C27/$N$15)&gt;0,(C27/$N$15)," ")</f>
        <v/>
      </c>
      <c r="C27" s="54">
        <f>+despacho!G22</f>
        <v/>
      </c>
      <c r="D27" s="54">
        <f>+despacho!I22</f>
        <v/>
      </c>
      <c r="E27" s="55">
        <f>IF(AND(B27&lt;$M$24,B27&gt;$M$25),1,0)</f>
        <v/>
      </c>
      <c r="F27" s="55">
        <f>IF(AND(B27&lt;$M$25,B27&gt;0),1,0)</f>
        <v/>
      </c>
      <c r="G27" s="56">
        <f>+despacho!J22</f>
        <v/>
      </c>
      <c r="H27" s="57">
        <f>+despacho!M22</f>
        <v/>
      </c>
      <c r="I27" s="58">
        <f>+despacho!K22</f>
        <v/>
      </c>
      <c r="J27" s="313">
        <f>+despacho!L22</f>
        <v/>
      </c>
      <c r="K27" s="150" t="inlineStr">
        <is>
          <t>Excelente: &gt;=105 kg  y</t>
        </is>
      </c>
      <c r="L27" s="151" t="inlineStr">
        <is>
          <t>&lt;=</t>
        </is>
      </c>
      <c r="M27" s="151" t="n">
        <v>18</v>
      </c>
      <c r="N27" s="173">
        <f>DSUM($B$6:$G$78,1,W30:Y31)</f>
        <v/>
      </c>
      <c r="O27" s="174">
        <f>DCOUNT($B$6:$G$78,1,W30:Y31)</f>
        <v/>
      </c>
      <c r="P27" s="175">
        <f>+N27/$N$32</f>
        <v/>
      </c>
      <c r="Q27" s="176" t="n">
        <v>0.04</v>
      </c>
      <c r="R27" s="177" t="n"/>
      <c r="S27" s="176" t="n"/>
      <c r="T27" s="178">
        <f>+M35*(1+Q27)</f>
        <v/>
      </c>
      <c r="U27" s="179">
        <f>+(-M35+T27)*N27</f>
        <v/>
      </c>
      <c r="V27" s="60">
        <f>+C27-D27</f>
        <v/>
      </c>
      <c r="W27" s="111" t="inlineStr">
        <is>
          <t>&lt;18</t>
        </is>
      </c>
      <c r="X27" s="111" t="inlineStr">
        <is>
          <t>&lt;=105</t>
        </is>
      </c>
      <c r="Y27" s="14" t="n"/>
      <c r="Z27" s="14" t="n"/>
      <c r="AB27" s="61" t="n"/>
    </row>
    <row r="28" ht="12.75" customHeight="1" s="314">
      <c r="A28" s="52">
        <f>+despacho!C23</f>
        <v/>
      </c>
      <c r="B28" s="53">
        <f>+IF((C28/$N$15)&gt;0,(C28/$N$15)," ")</f>
        <v/>
      </c>
      <c r="C28" s="54">
        <f>+despacho!G23</f>
        <v/>
      </c>
      <c r="D28" s="54">
        <f>+despacho!I23</f>
        <v/>
      </c>
      <c r="E28" s="55">
        <f>IF(AND(B28&lt;$M$24,B28&gt;$M$25),1,0)</f>
        <v/>
      </c>
      <c r="F28" s="55">
        <f>IF(AND(B28&lt;$M$25,B28&gt;0),1,0)</f>
        <v/>
      </c>
      <c r="G28" s="56">
        <f>+despacho!J23</f>
        <v/>
      </c>
      <c r="H28" s="57">
        <f>+despacho!M23</f>
        <v/>
      </c>
      <c r="I28" s="58">
        <f>+despacho!K23</f>
        <v/>
      </c>
      <c r="J28" s="313">
        <f>+despacho!L23</f>
        <v/>
      </c>
      <c r="K28" s="150" t="inlineStr">
        <is>
          <t>Buenos:    &gt;=115 kg</t>
        </is>
      </c>
      <c r="L28" s="180" t="n"/>
      <c r="M28" s="151" t="inlineStr">
        <is>
          <t>&gt;=18 &lt;20</t>
        </is>
      </c>
      <c r="N28" s="181">
        <f>DSUM($B$6:$G$78,1,W34:Y35)</f>
        <v/>
      </c>
      <c r="O28" s="182">
        <f>DCOUNT($B$6:$G$78,1,W34:Y35)</f>
        <v/>
      </c>
      <c r="P28" s="175">
        <f>+N28/$N$32</f>
        <v/>
      </c>
      <c r="Q28" s="183" t="n">
        <v>0</v>
      </c>
      <c r="R28" s="90" t="n"/>
      <c r="S28" s="90" t="n"/>
      <c r="T28" s="157">
        <f>+M35</f>
        <v/>
      </c>
      <c r="U28" s="158">
        <f>+IF(O28&gt;$N$10*S28,N28*(-$M$35+T28),T28*0)</f>
        <v/>
      </c>
      <c r="V28" s="60">
        <f>+C28-D28</f>
        <v/>
      </c>
      <c r="W28" s="14" t="n"/>
      <c r="X28" s="14" t="n"/>
      <c r="Y28" s="14" t="n"/>
      <c r="Z28" s="14" t="n"/>
      <c r="AB28" s="61" t="n"/>
    </row>
    <row r="29" ht="12.75" customHeight="1" s="314">
      <c r="A29" s="52">
        <f>+despacho!C24</f>
        <v/>
      </c>
      <c r="B29" s="53">
        <f>+IF((C29/$N$15)&gt;0,(C29/$N$15)," ")</f>
        <v/>
      </c>
      <c r="C29" s="54">
        <f>+despacho!G24</f>
        <v/>
      </c>
      <c r="D29" s="54">
        <f>+despacho!I24</f>
        <v/>
      </c>
      <c r="E29" s="55">
        <f>IF(AND(B29&lt;$M$24,B29&gt;$M$25),1,0)</f>
        <v/>
      </c>
      <c r="F29" s="55">
        <f>IF(AND(B29&lt;$M$25,B29&gt;0),1,0)</f>
        <v/>
      </c>
      <c r="G29" s="56">
        <f>+despacho!J24</f>
        <v/>
      </c>
      <c r="H29" s="57">
        <f>+despacho!M24</f>
        <v/>
      </c>
      <c r="I29" s="58">
        <f>+despacho!K24</f>
        <v/>
      </c>
      <c r="J29" s="313">
        <f>+despacho!L24</f>
        <v/>
      </c>
      <c r="K29" s="150" t="inlineStr">
        <is>
          <t>Estandar:  &lt;=105 Kg</t>
        </is>
      </c>
      <c r="L29" s="180" t="inlineStr">
        <is>
          <t>&lt;</t>
        </is>
      </c>
      <c r="M29" s="151" t="n">
        <v>18</v>
      </c>
      <c r="N29" s="181">
        <f>DSUM($B$6:$G$78,1,W26:X27)</f>
        <v/>
      </c>
      <c r="O29" s="182">
        <f>DCOUNT($B$6:$G$78,1,W26:X27)</f>
        <v/>
      </c>
      <c r="P29" s="175">
        <f>+N29/$N$32</f>
        <v/>
      </c>
      <c r="Q29" s="183" t="n">
        <v>0</v>
      </c>
      <c r="R29" s="90" t="n"/>
      <c r="S29" s="90" t="n"/>
      <c r="T29" s="157">
        <f>+M35</f>
        <v/>
      </c>
      <c r="U29" s="158">
        <f>+IF(O29&gt;$N$10*S29,N29*(-$M$35+T29),T29*0)</f>
        <v/>
      </c>
      <c r="V29" s="60">
        <f>+C29-D29</f>
        <v/>
      </c>
      <c r="W29" s="14" t="inlineStr">
        <is>
          <t>EXCELENTE</t>
        </is>
      </c>
      <c r="X29" s="14" t="n"/>
      <c r="Y29" s="14" t="n"/>
      <c r="Z29" s="14" t="n"/>
      <c r="AB29" s="61" t="n"/>
    </row>
    <row r="30" ht="12.75" customHeight="1" s="314">
      <c r="A30" s="52">
        <f>+despacho!C25</f>
        <v/>
      </c>
      <c r="B30" s="53">
        <f>+IF((C30/$N$15)&gt;0,(C30/$N$15)," ")</f>
        <v/>
      </c>
      <c r="C30" s="54">
        <f>+despacho!G25</f>
        <v/>
      </c>
      <c r="D30" s="54">
        <f>+despacho!I25</f>
        <v/>
      </c>
      <c r="E30" s="55">
        <f>IF(AND(B30&lt;$M$24,B30&gt;$M$25),1,0)</f>
        <v/>
      </c>
      <c r="F30" s="55">
        <f>IF(AND(B30&lt;$M$25,B30&gt;0),1,0)</f>
        <v/>
      </c>
      <c r="G30" s="56">
        <f>+despacho!J25</f>
        <v/>
      </c>
      <c r="H30" s="57">
        <f>+despacho!M25</f>
        <v/>
      </c>
      <c r="I30" s="58">
        <f>+despacho!K25</f>
        <v/>
      </c>
      <c r="J30" s="313">
        <f>+despacho!L25</f>
        <v/>
      </c>
      <c r="K30" s="150" t="inlineStr">
        <is>
          <t>Tocinudos: kg &lt;= 140 y mm</t>
        </is>
      </c>
      <c r="L30" s="159" t="n"/>
      <c r="M30" s="151" t="inlineStr">
        <is>
          <t>&gt;=18    &lt;22</t>
        </is>
      </c>
      <c r="N30" s="181">
        <f>DSUM($B$6:$G$78,1,W18:Y19)-DSUM($B$6:$G$78,1,W34:Y35)</f>
        <v/>
      </c>
      <c r="O30" s="182">
        <f>DCOUNT($B$6:$G$78,1,W18:Y19)-DCOUNT($B$6:$G$78,1,W34:Y35)</f>
        <v/>
      </c>
      <c r="P30" s="175">
        <f>+N30/$N$32</f>
        <v/>
      </c>
      <c r="Q30" s="155" t="n">
        <v>0.1</v>
      </c>
      <c r="R30" s="90" t="n"/>
      <c r="S30" s="155" t="n">
        <v>0</v>
      </c>
      <c r="T30" s="157">
        <f>+M35*(1-Q30)</f>
        <v/>
      </c>
      <c r="U30" s="158">
        <f>+IF(O30&gt;$N$10*S30,N30*(-$M$35+T30),T30*0)</f>
        <v/>
      </c>
      <c r="V30" s="60">
        <f>+C30-D30</f>
        <v/>
      </c>
      <c r="W30" s="111" t="inlineStr">
        <is>
          <t>dorsal</t>
        </is>
      </c>
      <c r="X30" s="111" t="inlineStr">
        <is>
          <t>dorsal</t>
        </is>
      </c>
      <c r="Y30" s="111" t="inlineStr">
        <is>
          <t>vivo</t>
        </is>
      </c>
      <c r="Z30" s="14" t="n"/>
      <c r="AB30" s="61" t="n"/>
    </row>
    <row r="31" ht="12.75" customHeight="1" s="314">
      <c r="A31" s="52">
        <f>+despacho!C26</f>
        <v/>
      </c>
      <c r="B31" s="53">
        <f>+IF((C31/$N$15)&gt;0,(C31/$N$15)," ")</f>
        <v/>
      </c>
      <c r="C31" s="54">
        <f>+despacho!G26</f>
        <v/>
      </c>
      <c r="D31" s="54">
        <f>+despacho!I26</f>
        <v/>
      </c>
      <c r="E31" s="55">
        <f>IF(AND(B31&lt;$M$24,B31&gt;$M$25),1,0)</f>
        <v/>
      </c>
      <c r="F31" s="55">
        <f>IF(AND(B31&lt;$M$25,B31&gt;0),1,0)</f>
        <v/>
      </c>
      <c r="G31" s="56">
        <f>+despacho!J26</f>
        <v/>
      </c>
      <c r="H31" s="57">
        <f>+despacho!M26</f>
        <v/>
      </c>
      <c r="I31" s="58">
        <f>+despacho!K26</f>
        <v/>
      </c>
      <c r="J31" s="313">
        <f>+despacho!L26</f>
        <v/>
      </c>
      <c r="K31" s="150" t="inlineStr">
        <is>
          <t xml:space="preserve">                   kg &gt; 90 y mm</t>
        </is>
      </c>
      <c r="L31" s="184" t="n"/>
      <c r="M31" s="184" t="inlineStr">
        <is>
          <t>&gt;=22</t>
        </is>
      </c>
      <c r="N31" s="185">
        <f>DSUM($B$6:$G$78,1,W22:X23)</f>
        <v/>
      </c>
      <c r="O31" s="186">
        <f>DCOUNT($B$6:$G$78,1,W22:X23)</f>
        <v/>
      </c>
      <c r="P31" s="175">
        <f>+N31/$N$32</f>
        <v/>
      </c>
      <c r="Q31" s="187" t="n">
        <v>0.12</v>
      </c>
      <c r="R31" s="188" t="n"/>
      <c r="S31" s="187" t="n">
        <v>0</v>
      </c>
      <c r="T31" s="164">
        <f>+M35*(1-Q31)</f>
        <v/>
      </c>
      <c r="U31" s="158">
        <f>+IF(O31&gt;$N$10*S31,N31*(-$M$35+T31),T31*0)</f>
        <v/>
      </c>
      <c r="V31" s="60">
        <f>+C31-D31</f>
        <v/>
      </c>
      <c r="W31" s="111" t="n"/>
      <c r="X31" s="111" t="inlineStr">
        <is>
          <t>&lt;18</t>
        </is>
      </c>
      <c r="Y31" s="111" t="inlineStr">
        <is>
          <t>&gt;=105</t>
        </is>
      </c>
      <c r="Z31" s="14" t="n"/>
      <c r="AC31" s="8" t="n">
        <v>8</v>
      </c>
    </row>
    <row r="32" ht="12.75" customHeight="1" s="314">
      <c r="A32" s="52">
        <f>+despacho!C27</f>
        <v/>
      </c>
      <c r="B32" s="53">
        <f>+IF((C32/$N$15)&gt;0,(C32/$N$15)," ")</f>
        <v/>
      </c>
      <c r="C32" s="54">
        <f>+despacho!G27</f>
        <v/>
      </c>
      <c r="D32" s="54">
        <f>+despacho!I27</f>
        <v/>
      </c>
      <c r="E32" s="55">
        <f>IF(AND(B32&lt;$M$24,B32&gt;$M$25),1,0)</f>
        <v/>
      </c>
      <c r="F32" s="55">
        <f>IF(AND(B32&lt;$M$25,B32&gt;0),1,0)</f>
        <v/>
      </c>
      <c r="G32" s="56">
        <f>+despacho!J27</f>
        <v/>
      </c>
      <c r="H32" s="57">
        <f>+despacho!M27</f>
        <v/>
      </c>
      <c r="I32" s="58">
        <f>+despacho!K27</f>
        <v/>
      </c>
      <c r="J32" s="313">
        <f>+despacho!L27</f>
        <v/>
      </c>
      <c r="K32" s="189" t="inlineStr">
        <is>
          <t>Total lote</t>
        </is>
      </c>
      <c r="L32" s="190" t="n"/>
      <c r="M32" s="191" t="n"/>
      <c r="N32" s="192">
        <f>SUM(N27:N31)</f>
        <v/>
      </c>
      <c r="O32" s="193">
        <f>SUM(O27:O31)</f>
        <v/>
      </c>
      <c r="P32" s="194">
        <f>+N32/$N$26</f>
        <v/>
      </c>
      <c r="Q32" s="195" t="n"/>
      <c r="R32" s="195" t="n"/>
      <c r="S32" s="196" t="n"/>
      <c r="T32" s="197" t="n"/>
      <c r="U32" s="198">
        <f>SUM(U27:U31)</f>
        <v/>
      </c>
      <c r="V32" s="60">
        <f>+C32-D32</f>
        <v/>
      </c>
    </row>
    <row r="33" ht="12.75" customHeight="1" s="314">
      <c r="A33" s="52">
        <f>+despacho!C28</f>
        <v/>
      </c>
      <c r="B33" s="53">
        <f>+IF((C33/$N$15)&gt;0,(C33/$N$15)," ")</f>
        <v/>
      </c>
      <c r="C33" s="54">
        <f>+despacho!G28</f>
        <v/>
      </c>
      <c r="D33" s="54">
        <f>+despacho!I28</f>
        <v/>
      </c>
      <c r="E33" s="55">
        <f>IF(AND(B33&lt;$M$24,B33&gt;$M$25),1,0)</f>
        <v/>
      </c>
      <c r="F33" s="55">
        <f>IF(AND(B33&lt;$M$25,B33&gt;0),1,0)</f>
        <v/>
      </c>
      <c r="G33" s="56">
        <f>+despacho!J28</f>
        <v/>
      </c>
      <c r="H33" s="57">
        <f>+despacho!M28</f>
        <v/>
      </c>
      <c r="I33" s="58">
        <f>+despacho!K28</f>
        <v/>
      </c>
      <c r="J33" s="313">
        <f>+despacho!L28</f>
        <v/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1">
        <f>+U32+U26+U22</f>
        <v/>
      </c>
      <c r="V33" s="60">
        <f>+C33-D33</f>
        <v/>
      </c>
      <c r="W33" s="8" t="inlineStr">
        <is>
          <t>BUENOS</t>
        </is>
      </c>
    </row>
    <row r="34" ht="12.75" customHeight="1" s="314">
      <c r="A34" s="52">
        <f>+despacho!C29</f>
        <v/>
      </c>
      <c r="B34" s="53">
        <f>+IF((C34/$N$15)&gt;0,(C34/$N$15)," ")</f>
        <v/>
      </c>
      <c r="C34" s="54">
        <f>+despacho!G29</f>
        <v/>
      </c>
      <c r="D34" s="54">
        <f>+despacho!I29</f>
        <v/>
      </c>
      <c r="E34" s="55">
        <f>IF(AND(B34&lt;$M$24,B34&gt;$M$25),1,0)</f>
        <v/>
      </c>
      <c r="F34" s="55">
        <f>IF(AND(B34&lt;$M$25,B34&gt;0),1,0)</f>
        <v/>
      </c>
      <c r="G34" s="56">
        <f>+despacho!J29</f>
        <v/>
      </c>
      <c r="H34" s="57">
        <f>+despacho!M29</f>
        <v/>
      </c>
      <c r="I34" s="58">
        <f>+despacho!K29</f>
        <v/>
      </c>
      <c r="J34" s="313">
        <f>+despacho!L29</f>
        <v/>
      </c>
      <c r="K34" s="14" t="n"/>
      <c r="L34" s="313" t="n"/>
      <c r="M34" s="318" t="inlineStr">
        <is>
          <t>$/kg vivo</t>
        </is>
      </c>
      <c r="N34" s="318" t="inlineStr">
        <is>
          <t>$/cerdo</t>
        </is>
      </c>
      <c r="O34" s="199" t="inlineStr">
        <is>
          <t>$/lote</t>
        </is>
      </c>
      <c r="P34" s="200" t="n"/>
      <c r="Q34" s="318" t="inlineStr">
        <is>
          <t>CLASIFICACION CANAL</t>
        </is>
      </c>
      <c r="R34" s="319" t="n"/>
      <c r="S34" s="319" t="n"/>
      <c r="T34" s="319" t="n"/>
      <c r="U34" s="320" t="n"/>
      <c r="V34" s="60">
        <f>+C34-D34</f>
        <v/>
      </c>
      <c r="W34" s="201" t="inlineStr">
        <is>
          <t>dorsal</t>
        </is>
      </c>
      <c r="X34" s="201" t="inlineStr">
        <is>
          <t>dorsal</t>
        </is>
      </c>
      <c r="Y34" s="201" t="inlineStr">
        <is>
          <t>vivo</t>
        </is>
      </c>
    </row>
    <row r="35" ht="12.75" customHeight="1" s="314">
      <c r="A35" s="52">
        <f>+despacho!C30</f>
        <v/>
      </c>
      <c r="B35" s="53">
        <f>+IF((C35/$N$15)&gt;0,(C35/$N$15)," ")</f>
        <v/>
      </c>
      <c r="C35" s="54">
        <f>+despacho!G30</f>
        <v/>
      </c>
      <c r="D35" s="54">
        <f>+despacho!I30</f>
        <v/>
      </c>
      <c r="E35" s="55">
        <f>IF(AND(B35&lt;$M$24,B35&gt;$M$25),1,0)</f>
        <v/>
      </c>
      <c r="F35" s="55">
        <f>IF(AND(B35&lt;$M$25,B35&gt;0),1,0)</f>
        <v/>
      </c>
      <c r="G35" s="56">
        <f>+despacho!J30</f>
        <v/>
      </c>
      <c r="H35" s="57">
        <f>+despacho!M30</f>
        <v/>
      </c>
      <c r="I35" s="58">
        <f>+despacho!K30</f>
        <v/>
      </c>
      <c r="J35" s="313">
        <f>+despacho!L30</f>
        <v/>
      </c>
      <c r="K35" s="202" t="inlineStr">
        <is>
          <t>Precio base:</t>
        </is>
      </c>
      <c r="L35" s="203" t="n"/>
      <c r="M35" s="204" t="n">
        <v>8100</v>
      </c>
      <c r="N35" s="205">
        <f>+O35/M10</f>
        <v/>
      </c>
      <c r="O35" s="206">
        <f>+M35*L16</f>
        <v/>
      </c>
      <c r="P35" s="207" t="n"/>
      <c r="Q35" s="208" t="inlineStr">
        <is>
          <t>S</t>
        </is>
      </c>
      <c r="R35" s="209">
        <f>+S35/$M$10</f>
        <v/>
      </c>
      <c r="S35" s="210">
        <f>+COUNTIF($J$7:$J$47,"S")</f>
        <v/>
      </c>
      <c r="T35" s="211" t="inlineStr">
        <is>
          <t>Mas de 60%  Magro</t>
        </is>
      </c>
      <c r="U35" s="212" t="n"/>
      <c r="V35" s="60">
        <f>+C35-D35</f>
        <v/>
      </c>
      <c r="W35" s="201" t="inlineStr">
        <is>
          <t>&gt;=18</t>
        </is>
      </c>
      <c r="X35" s="201" t="inlineStr">
        <is>
          <t>&lt;20</t>
        </is>
      </c>
      <c r="Y35" s="201" t="inlineStr">
        <is>
          <t>&gt;=115</t>
        </is>
      </c>
    </row>
    <row r="36" ht="12.75" customHeight="1" s="314">
      <c r="A36" s="52">
        <f>+despacho!C31</f>
        <v/>
      </c>
      <c r="B36" s="53">
        <f>+IF((C36/$N$15)&gt;0,(C36/$N$15)," ")</f>
        <v/>
      </c>
      <c r="C36" s="54">
        <f>+despacho!G31</f>
        <v/>
      </c>
      <c r="D36" s="54">
        <f>+despacho!I31</f>
        <v/>
      </c>
      <c r="E36" s="55">
        <f>IF(AND(B36&lt;$M$24,B36&gt;$M$25),1,0)</f>
        <v/>
      </c>
      <c r="F36" s="55">
        <f>IF(AND(B36&lt;$M$25,B36&gt;0),1,0)</f>
        <v/>
      </c>
      <c r="G36" s="56">
        <f>+despacho!J31</f>
        <v/>
      </c>
      <c r="H36" s="57">
        <f>+despacho!M31</f>
        <v/>
      </c>
      <c r="I36" s="58">
        <f>+despacho!K31</f>
        <v/>
      </c>
      <c r="J36" s="313">
        <f>+despacho!L31</f>
        <v/>
      </c>
      <c r="K36" s="213" t="inlineStr">
        <is>
          <t>Precio a pagar:</t>
        </is>
      </c>
      <c r="L36" s="214" t="n"/>
      <c r="M36" s="215">
        <f>+O36/L16</f>
        <v/>
      </c>
      <c r="N36" s="216">
        <f>+O36/M10</f>
        <v/>
      </c>
      <c r="O36" s="217">
        <f>+O35+U33</f>
        <v/>
      </c>
      <c r="P36" s="218" t="n"/>
      <c r="Q36" s="219" t="inlineStr">
        <is>
          <t>E</t>
        </is>
      </c>
      <c r="R36" s="209">
        <f>+S36/$M$10</f>
        <v/>
      </c>
      <c r="S36" s="210">
        <f>+COUNTIF($J$7:$J$47,"E")</f>
        <v/>
      </c>
      <c r="T36" s="220" t="inlineStr">
        <is>
          <t xml:space="preserve">Entre 55% -  59% </t>
        </is>
      </c>
      <c r="U36" s="221" t="n"/>
      <c r="V36" s="60">
        <f>+C36-D36</f>
        <v/>
      </c>
    </row>
    <row r="37" ht="12.75" customHeight="1" s="314">
      <c r="A37" s="52">
        <f>+despacho!C32</f>
        <v/>
      </c>
      <c r="B37" s="53">
        <f>+IF((C37/$N$15)&gt;0,(C37/$N$15)," ")</f>
        <v/>
      </c>
      <c r="C37" s="54">
        <f>+despacho!G32</f>
        <v/>
      </c>
      <c r="D37" s="54">
        <f>+despacho!I32</f>
        <v/>
      </c>
      <c r="E37" s="55">
        <f>IF(AND(B37&lt;$M$24,B37&gt;$M$25),1,0)</f>
        <v/>
      </c>
      <c r="F37" s="55">
        <f>IF(AND(B37&lt;$M$25,B37&gt;0),1,0)</f>
        <v/>
      </c>
      <c r="G37" s="56">
        <f>+despacho!J32</f>
        <v/>
      </c>
      <c r="H37" s="57">
        <f>+despacho!M32</f>
        <v/>
      </c>
      <c r="I37" s="58">
        <f>+despacho!K32</f>
        <v/>
      </c>
      <c r="J37" s="313">
        <f>+despacho!L32</f>
        <v/>
      </c>
      <c r="K37" s="213" t="inlineStr">
        <is>
          <t>Precio pagado:</t>
        </is>
      </c>
      <c r="L37" s="214" t="n"/>
      <c r="M37" s="215">
        <f>+M36</f>
        <v/>
      </c>
      <c r="N37" s="216">
        <f>+M37*M14</f>
        <v/>
      </c>
      <c r="O37" s="217">
        <f>+M37*L16</f>
        <v/>
      </c>
      <c r="P37" s="218" t="n"/>
      <c r="Q37" s="219" t="inlineStr">
        <is>
          <t>U</t>
        </is>
      </c>
      <c r="R37" s="209">
        <f>+S37/$M$10</f>
        <v/>
      </c>
      <c r="S37" s="210">
        <f>+COUNTIF($J$7:$J$47,"U")</f>
        <v/>
      </c>
      <c r="T37" s="220" t="inlineStr">
        <is>
          <t xml:space="preserve">Entre 50% -  54% </t>
        </is>
      </c>
      <c r="U37" s="221" t="n"/>
      <c r="V37" s="60">
        <f>+C37-D37</f>
        <v/>
      </c>
    </row>
    <row r="38" ht="12.75" customHeight="1" s="314">
      <c r="A38" s="52">
        <f>+despacho!C33</f>
        <v/>
      </c>
      <c r="B38" s="53">
        <f>+IF((C38/$N$15)&gt;0,(C38/$N$15)," ")</f>
        <v/>
      </c>
      <c r="C38" s="54">
        <f>+despacho!G33</f>
        <v/>
      </c>
      <c r="D38" s="54">
        <f>+despacho!I33</f>
        <v/>
      </c>
      <c r="E38" s="55">
        <f>IF(AND(B38&lt;$M$24,B38&gt;$M$25),1,0)</f>
        <v/>
      </c>
      <c r="F38" s="55">
        <f>IF(AND(B38&lt;$M$25,B38&gt;0),1,0)</f>
        <v/>
      </c>
      <c r="G38" s="56">
        <f>+despacho!J33</f>
        <v/>
      </c>
      <c r="H38" s="57">
        <f>+despacho!M33</f>
        <v/>
      </c>
      <c r="I38" s="58">
        <f>+despacho!K33</f>
        <v/>
      </c>
      <c r="J38" s="313">
        <f>+despacho!L33</f>
        <v/>
      </c>
      <c r="K38" s="213" t="inlineStr">
        <is>
          <t>Costo sacrificio:</t>
        </is>
      </c>
      <c r="L38" s="214" t="n"/>
      <c r="M38" s="215">
        <f>+N38/$M$16</f>
        <v/>
      </c>
      <c r="N38" s="216" t="n">
        <v>58436</v>
      </c>
      <c r="O38" s="217">
        <f>+N38*M10</f>
        <v/>
      </c>
      <c r="P38" s="218" t="n"/>
      <c r="Q38" s="219" t="inlineStr">
        <is>
          <t xml:space="preserve">R </t>
        </is>
      </c>
      <c r="R38" s="209">
        <f>+S38/$M$10</f>
        <v/>
      </c>
      <c r="S38" s="210">
        <f>+COUNTIF($J$7:$J$47,"R")</f>
        <v/>
      </c>
      <c r="T38" s="220" t="inlineStr">
        <is>
          <t>Entre 45% -  49%</t>
        </is>
      </c>
      <c r="U38" s="221" t="n"/>
      <c r="V38" s="60">
        <f>+C38-D38</f>
        <v/>
      </c>
      <c r="AA38" s="222" t="n"/>
    </row>
    <row r="39" ht="12.75" customHeight="1" s="314">
      <c r="A39" s="52">
        <f>+despacho!C34</f>
        <v/>
      </c>
      <c r="B39" s="53">
        <f>+IF((C39/$N$15)&gt;0,(C39/$N$15)," ")</f>
        <v/>
      </c>
      <c r="C39" s="54">
        <f>+despacho!G34</f>
        <v/>
      </c>
      <c r="D39" s="54">
        <f>+despacho!I34</f>
        <v/>
      </c>
      <c r="E39" s="55">
        <f>IF(AND(B39&lt;$M$24,B39&gt;$M$25),1,0)</f>
        <v/>
      </c>
      <c r="F39" s="55">
        <f>IF(AND(B39&lt;$M$25,B39&gt;0),1,0)</f>
        <v/>
      </c>
      <c r="G39" s="56">
        <f>+despacho!J34</f>
        <v/>
      </c>
      <c r="H39" s="57">
        <f>+despacho!M34</f>
        <v/>
      </c>
      <c r="I39" s="58">
        <f>+despacho!K34</f>
        <v/>
      </c>
      <c r="J39" s="313">
        <f>+despacho!L34</f>
        <v/>
      </c>
      <c r="K39" s="223" t="inlineStr">
        <is>
          <t>costo sacrif descartes</t>
        </is>
      </c>
      <c r="L39" s="86" t="n"/>
      <c r="M39" s="90" t="n"/>
      <c r="N39" s="216" t="n">
        <v>140792</v>
      </c>
      <c r="O39" s="217" t="n"/>
      <c r="P39" s="218" t="n"/>
      <c r="Q39" s="219" t="inlineStr">
        <is>
          <t>O</t>
        </is>
      </c>
      <c r="R39" s="209">
        <f>+S39/$M$10</f>
        <v/>
      </c>
      <c r="S39" s="210">
        <f>+COUNTIF($J$7:$J$47,"O")</f>
        <v/>
      </c>
      <c r="T39" s="220" t="inlineStr">
        <is>
          <t>Entre 40% -  44%</t>
        </is>
      </c>
      <c r="U39" s="221" t="n"/>
      <c r="V39" s="60">
        <f>+C39-D39</f>
        <v/>
      </c>
    </row>
    <row r="40" ht="12.75" customHeight="1" s="314">
      <c r="A40" s="52">
        <f>+despacho!C35</f>
        <v/>
      </c>
      <c r="B40" s="53">
        <f>+IF((C40/$N$15)&gt;0,(C40/$N$15)," ")</f>
        <v/>
      </c>
      <c r="C40" s="54">
        <f>+despacho!G35</f>
        <v/>
      </c>
      <c r="D40" s="54">
        <f>+despacho!I35</f>
        <v/>
      </c>
      <c r="E40" s="55">
        <f>IF(AND(B40&lt;$M$24,B40&gt;$M$25),1,0)</f>
        <v/>
      </c>
      <c r="F40" s="55">
        <f>IF(AND(B40&lt;$M$25,B40&gt;0),1,0)</f>
        <v/>
      </c>
      <c r="G40" s="56">
        <f>+despacho!J35</f>
        <v/>
      </c>
      <c r="H40" s="57">
        <f>+despacho!M35</f>
        <v/>
      </c>
      <c r="I40" s="58">
        <f>+despacho!K35</f>
        <v/>
      </c>
      <c r="J40" s="313">
        <f>+despacho!L35</f>
        <v/>
      </c>
      <c r="K40" s="224" t="inlineStr">
        <is>
          <t>Descuentos:</t>
        </is>
      </c>
      <c r="L40" s="225" t="n"/>
      <c r="M40" s="163" t="n"/>
      <c r="N40" s="216" t="n"/>
      <c r="O40" s="226" t="n"/>
      <c r="P40" s="227" t="n"/>
      <c r="Q40" s="228" t="inlineStr">
        <is>
          <t>P</t>
        </is>
      </c>
      <c r="R40" s="229">
        <f>+S40/#REF!</f>
        <v/>
      </c>
      <c r="S40" s="230">
        <f>+COUNTIF($J$7:$J$47,"P")</f>
        <v/>
      </c>
      <c r="T40" s="231" t="inlineStr">
        <is>
          <t>Menos de 40%</t>
        </is>
      </c>
      <c r="U40" s="232" t="n"/>
      <c r="V40" s="60">
        <f>+C40-D40</f>
        <v/>
      </c>
    </row>
    <row r="41" ht="12.75" customHeight="1" s="314">
      <c r="A41" s="52">
        <f>+despacho!C36</f>
        <v/>
      </c>
      <c r="B41" s="53">
        <f>+IF((C41/$N$15)&gt;0,(C41/$N$15)," ")</f>
        <v/>
      </c>
      <c r="C41" s="54">
        <f>+despacho!G36</f>
        <v/>
      </c>
      <c r="D41" s="54">
        <f>+despacho!I36</f>
        <v/>
      </c>
      <c r="E41" s="55">
        <f>IF(AND(B41&lt;$M$24,B41&gt;$M$25),1,0)</f>
        <v/>
      </c>
      <c r="F41" s="55">
        <f>IF(AND(B41&lt;$M$25,B41&gt;0),1,0)</f>
        <v/>
      </c>
      <c r="G41" s="56">
        <f>+despacho!J36</f>
        <v/>
      </c>
      <c r="H41" s="57">
        <f>+despacho!M36</f>
        <v/>
      </c>
      <c r="I41" s="58">
        <f>+despacho!K36</f>
        <v/>
      </c>
      <c r="J41" s="313">
        <f>+despacho!L36</f>
        <v/>
      </c>
      <c r="K41" s="233" t="n"/>
      <c r="L41" s="113" t="inlineStr">
        <is>
          <t>KG</t>
        </is>
      </c>
      <c r="M41" s="147" t="n"/>
      <c r="N41" s="147" t="n"/>
      <c r="O41" s="206" t="n"/>
      <c r="P41" s="234" t="n"/>
      <c r="Q41" s="14" t="n"/>
      <c r="R41" s="14" t="n"/>
      <c r="S41" s="313" t="n"/>
      <c r="T41" s="14" t="n"/>
      <c r="U41" s="14" t="n"/>
      <c r="V41" s="60">
        <f>+C41-D41</f>
        <v/>
      </c>
    </row>
    <row r="42" ht="12.75" customHeight="1" s="314">
      <c r="A42" s="52">
        <f>+despacho!C37</f>
        <v/>
      </c>
      <c r="B42" s="53">
        <f>+IF((C42/$N$15)&gt;0,(C42/$N$15)," ")</f>
        <v/>
      </c>
      <c r="C42" s="54">
        <f>+despacho!G37</f>
        <v/>
      </c>
      <c r="D42" s="54">
        <f>+despacho!I37</f>
        <v/>
      </c>
      <c r="E42" s="55">
        <f>IF(AND(B42&lt;$M$24,B42&gt;$M$25),1,0)</f>
        <v/>
      </c>
      <c r="F42" s="55">
        <f>IF(AND(B42&lt;$M$25,B42&gt;0),1,0)</f>
        <v/>
      </c>
      <c r="G42" s="56">
        <f>+despacho!J37</f>
        <v/>
      </c>
      <c r="H42" s="57">
        <f>+despacho!M37</f>
        <v/>
      </c>
      <c r="I42" s="58">
        <f>+despacho!K37</f>
        <v/>
      </c>
      <c r="J42" s="313">
        <f>+despacho!L37</f>
        <v/>
      </c>
      <c r="K42" s="235" t="inlineStr">
        <is>
          <t>ciclan</t>
        </is>
      </c>
      <c r="L42" s="90" t="n"/>
      <c r="M42" s="215">
        <f>+M37*0.75</f>
        <v/>
      </c>
      <c r="N42" s="236">
        <f>+(M37-M42)*L42*-1</f>
        <v/>
      </c>
      <c r="O42" s="217">
        <f>+N42</f>
        <v/>
      </c>
      <c r="P42" s="237" t="n"/>
      <c r="Q42" s="14" t="n"/>
      <c r="R42" s="238" t="n"/>
      <c r="S42" s="313" t="n"/>
      <c r="T42" s="14" t="n"/>
      <c r="U42" s="14" t="n"/>
      <c r="V42" s="60">
        <f>+C42-D42</f>
        <v/>
      </c>
    </row>
    <row r="43" ht="12.75" customHeight="1" s="314">
      <c r="A43" s="52">
        <f>+despacho!C38</f>
        <v/>
      </c>
      <c r="B43" s="53">
        <f>+IF((C43/$N$15)&gt;0,(C43/$N$15)," ")</f>
        <v/>
      </c>
      <c r="C43" s="54">
        <f>+despacho!G38</f>
        <v/>
      </c>
      <c r="D43" s="54">
        <f>+despacho!I38</f>
        <v/>
      </c>
      <c r="E43" s="55">
        <f>IF(AND(B43&lt;$M$24,B43&gt;$M$25),1,0)</f>
        <v/>
      </c>
      <c r="F43" s="55">
        <f>IF(AND(B43&lt;$M$25,B43&gt;0),1,0)</f>
        <v/>
      </c>
      <c r="G43" s="56">
        <f>+despacho!J38</f>
        <v/>
      </c>
      <c r="H43" s="57">
        <f>+despacho!M38</f>
        <v/>
      </c>
      <c r="I43" s="58">
        <f>+despacho!K38</f>
        <v/>
      </c>
      <c r="J43" s="313">
        <f>+despacho!L38</f>
        <v/>
      </c>
      <c r="K43" s="235" t="n"/>
      <c r="L43" s="90" t="n"/>
      <c r="M43" s="236" t="n"/>
      <c r="N43" s="236" t="n"/>
      <c r="O43" s="217" t="n"/>
      <c r="P43" s="237" t="n"/>
      <c r="Q43" s="14" t="n"/>
      <c r="R43" s="313" t="n"/>
      <c r="S43" s="313" t="n"/>
      <c r="T43" s="14" t="n"/>
      <c r="U43" s="14" t="n"/>
      <c r="V43" s="60">
        <f>+C43-D43</f>
        <v/>
      </c>
    </row>
    <row r="44" ht="12.75" customHeight="1" s="314">
      <c r="A44" s="52">
        <f>+despacho!C39</f>
        <v/>
      </c>
      <c r="B44" s="53">
        <f>+IF((C44/$N$15)&gt;0,(C44/$N$15)," ")</f>
        <v/>
      </c>
      <c r="C44" s="54">
        <f>+despacho!G39</f>
        <v/>
      </c>
      <c r="D44" s="54">
        <f>+despacho!I39</f>
        <v/>
      </c>
      <c r="E44" s="55">
        <f>IF(AND(B44&lt;$M$24,B44&gt;$M$25),1,0)</f>
        <v/>
      </c>
      <c r="F44" s="55">
        <f>IF(AND(B44&lt;$M$25,B44&gt;0),1,0)</f>
        <v/>
      </c>
      <c r="G44" s="56">
        <f>+despacho!J39</f>
        <v/>
      </c>
      <c r="H44" s="57">
        <f>+despacho!M39</f>
        <v/>
      </c>
      <c r="I44" s="58">
        <f>+despacho!K39</f>
        <v/>
      </c>
      <c r="J44" s="313">
        <f>+despacho!L39</f>
        <v/>
      </c>
      <c r="K44" s="239" t="n"/>
      <c r="L44" s="163" t="n"/>
      <c r="M44" s="163" t="n"/>
      <c r="N44" s="163" t="n"/>
      <c r="O44" s="226" t="n"/>
      <c r="P44" s="240" t="n"/>
      <c r="Q44" s="14" t="n"/>
      <c r="S44" s="313" t="n"/>
      <c r="T44" s="14" t="n"/>
      <c r="U44" s="14" t="n"/>
      <c r="V44" s="60">
        <f>+C44-D44</f>
        <v/>
      </c>
    </row>
    <row r="45" ht="12.75" customHeight="1" s="314">
      <c r="A45" s="52">
        <f>+despacho!C40</f>
        <v/>
      </c>
      <c r="B45" s="53">
        <f>+IF((C45/$N$15)&gt;0,(C45/$N$15)," ")</f>
        <v/>
      </c>
      <c r="C45" s="54">
        <f>+despacho!G40</f>
        <v/>
      </c>
      <c r="D45" s="54">
        <f>+despacho!I40</f>
        <v/>
      </c>
      <c r="E45" s="55">
        <f>IF(AND(B45&lt;$M$24,B45&gt;$M$25),1,0)</f>
        <v/>
      </c>
      <c r="F45" s="55">
        <f>IF(AND(B45&lt;$M$25,B45&gt;0),1,0)</f>
        <v/>
      </c>
      <c r="G45" s="56">
        <f>+despacho!J40</f>
        <v/>
      </c>
      <c r="H45" s="57">
        <f>+despacho!M40</f>
        <v/>
      </c>
      <c r="I45" s="58">
        <f>+despacho!K40</f>
        <v/>
      </c>
      <c r="J45" s="313">
        <f>+despacho!L40</f>
        <v/>
      </c>
      <c r="K45" s="241" t="inlineStr">
        <is>
          <t>Costo lote</t>
        </is>
      </c>
      <c r="L45" s="242" t="n"/>
      <c r="M45" s="242" t="n"/>
      <c r="N45" s="242" t="n"/>
      <c r="O45" s="243">
        <f>+O37+O38+O39+O42-O43-O44</f>
        <v/>
      </c>
      <c r="P45" s="244" t="n"/>
      <c r="Q45" s="14" t="n"/>
      <c r="S45" s="313" t="n"/>
      <c r="T45" s="14" t="n"/>
      <c r="U45" s="14" t="n"/>
      <c r="V45" s="60">
        <f>+C45-D45</f>
        <v/>
      </c>
    </row>
    <row r="46" ht="12.75" customHeight="1" s="314">
      <c r="A46" s="52">
        <f>+despacho!C41</f>
        <v/>
      </c>
      <c r="B46" s="53">
        <f>+IF((C46/$N$15)&gt;0,(C46/$N$15)," ")</f>
        <v/>
      </c>
      <c r="C46" s="54">
        <f>+despacho!G41</f>
        <v/>
      </c>
      <c r="D46" s="54">
        <f>+despacho!I41</f>
        <v/>
      </c>
      <c r="E46" s="55">
        <f>IF(AND(B46&lt;$M$24,B46&gt;$M$25),1,0)</f>
        <v/>
      </c>
      <c r="F46" s="55">
        <f>IF(AND(B46&lt;$M$25,B46&gt;0),1,0)</f>
        <v/>
      </c>
      <c r="G46" s="56">
        <f>+despacho!J41</f>
        <v/>
      </c>
      <c r="H46" s="57">
        <f>+despacho!M41</f>
        <v/>
      </c>
      <c r="I46" s="58">
        <f>+despacho!K41</f>
        <v/>
      </c>
      <c r="J46" s="313">
        <f>+despacho!L41</f>
        <v/>
      </c>
      <c r="K46" s="245" t="inlineStr">
        <is>
          <t>Costo Kg canal caliente</t>
        </is>
      </c>
      <c r="L46" s="246" t="n"/>
      <c r="M46" s="246" t="n"/>
      <c r="N46" s="242" t="n"/>
      <c r="O46" s="243">
        <f>+($O$45+13000*M10)/$N$16</f>
        <v/>
      </c>
      <c r="P46" s="244" t="n"/>
      <c r="Q46" s="14" t="n"/>
      <c r="R46" s="313" t="n"/>
      <c r="S46" s="313" t="n"/>
      <c r="T46" s="14" t="n"/>
      <c r="U46" s="14" t="n"/>
      <c r="V46" s="60">
        <f>+C46-D46</f>
        <v/>
      </c>
    </row>
    <row r="47" ht="12.75" customHeight="1" s="314">
      <c r="A47" s="52">
        <f>+despacho!C42</f>
        <v/>
      </c>
      <c r="B47" s="53">
        <f>+IF((C47/$N$15)&gt;0,(C47/$N$15)," ")</f>
        <v/>
      </c>
      <c r="C47" s="54">
        <f>+despacho!G42</f>
        <v/>
      </c>
      <c r="D47" s="54">
        <f>+despacho!I42</f>
        <v/>
      </c>
      <c r="E47" s="55">
        <f>IF(AND(B47&lt;$M$24,B47&gt;$M$25),1,0)</f>
        <v/>
      </c>
      <c r="F47" s="55">
        <f>IF(AND(B47&lt;$M$25,B47&gt;0),1,0)</f>
        <v/>
      </c>
      <c r="G47" s="56">
        <f>+despacho!J42</f>
        <v/>
      </c>
      <c r="H47" s="57">
        <f>+despacho!M42</f>
        <v/>
      </c>
      <c r="I47" s="58">
        <f>+despacho!K42</f>
        <v/>
      </c>
      <c r="J47" s="313">
        <f>+despacho!L42</f>
        <v/>
      </c>
      <c r="K47" s="241" t="inlineStr">
        <is>
          <t>Costo Canal Refrigerado</t>
        </is>
      </c>
      <c r="L47" s="242" t="n"/>
      <c r="M47" s="242" t="n"/>
      <c r="N47" s="242" t="n"/>
      <c r="O47" s="243">
        <f>+($O$45+13000*M10)/$O$16</f>
        <v/>
      </c>
      <c r="P47" s="244" t="n"/>
      <c r="Q47" s="14" t="n"/>
      <c r="R47" s="313" t="n"/>
      <c r="S47" s="313" t="n"/>
      <c r="T47" s="14" t="n"/>
      <c r="U47" s="14" t="n"/>
      <c r="V47" s="60">
        <f>+C47-D47</f>
        <v/>
      </c>
    </row>
    <row r="48" ht="14.25" customHeight="1" s="314">
      <c r="A48" s="52">
        <f>+despacho!C43</f>
        <v/>
      </c>
      <c r="B48" s="53">
        <f>+IF((C48/$N$15)&gt;0,(C48/$N$15)," ")</f>
        <v/>
      </c>
      <c r="C48" s="54">
        <f>+despacho!G43</f>
        <v/>
      </c>
      <c r="D48" s="54">
        <f>+despacho!I43</f>
        <v/>
      </c>
      <c r="E48" s="55">
        <f>IF(AND(B48&lt;$M$24,B48&gt;$M$25),1,0)</f>
        <v/>
      </c>
      <c r="F48" s="55">
        <f>IF(AND(B48&lt;$M$25,B48&gt;0),1,0)</f>
        <v/>
      </c>
      <c r="G48" s="56">
        <f>+despacho!J43</f>
        <v/>
      </c>
      <c r="H48" s="57">
        <f>+despacho!M43</f>
        <v/>
      </c>
      <c r="I48" s="58">
        <f>+despacho!K43</f>
        <v/>
      </c>
      <c r="J48" s="313">
        <f>+despacho!L43</f>
        <v/>
      </c>
      <c r="K48" s="247" t="inlineStr">
        <is>
          <t>Facturar:</t>
        </is>
      </c>
      <c r="L48" s="248">
        <f>+L16</f>
        <v/>
      </c>
      <c r="M48" s="197" t="inlineStr">
        <is>
          <t>Kg cerdo en canal</t>
        </is>
      </c>
      <c r="N48" s="242" t="n"/>
      <c r="O48" s="249">
        <f>+P48/L48</f>
        <v/>
      </c>
      <c r="P48" s="250">
        <f>+O45</f>
        <v/>
      </c>
      <c r="Q48" s="251" t="n"/>
      <c r="R48" s="14" t="n"/>
      <c r="S48" s="313" t="n"/>
      <c r="T48" s="14" t="n"/>
      <c r="U48" s="14" t="n"/>
      <c r="V48" s="60">
        <f>+C48-D48</f>
        <v/>
      </c>
    </row>
    <row r="49" ht="14.25" customHeight="1" s="314">
      <c r="A49" s="52">
        <f>+despacho!C44</f>
        <v/>
      </c>
      <c r="B49" s="53">
        <f>+IF((C49/$N$15)&gt;0,(C49/$N$15)," ")</f>
        <v/>
      </c>
      <c r="C49" s="54">
        <f>+despacho!G44</f>
        <v/>
      </c>
      <c r="D49" s="54">
        <f>+despacho!I44</f>
        <v/>
      </c>
      <c r="E49" s="55">
        <f>IF(AND(B49&lt;$M$24,B49&gt;$M$25),1,0)</f>
        <v/>
      </c>
      <c r="F49" s="55">
        <f>IF(AND(B49&lt;$M$25,B49&gt;0),1,0)</f>
        <v/>
      </c>
      <c r="G49" s="56">
        <f>+despacho!J44</f>
        <v/>
      </c>
      <c r="H49" s="57">
        <f>+despacho!M44</f>
        <v/>
      </c>
      <c r="I49" s="58">
        <f>+despacho!K44</f>
        <v/>
      </c>
      <c r="J49" s="313">
        <f>+despacho!L44</f>
        <v/>
      </c>
      <c r="K49" s="26" t="inlineStr">
        <is>
          <t>COMENTARIOS:</t>
        </is>
      </c>
      <c r="L49" s="252" t="n"/>
      <c r="M49" s="253" t="n"/>
      <c r="N49" s="253" t="n"/>
      <c r="O49" s="253" t="n"/>
      <c r="P49" s="253" t="n"/>
      <c r="Q49" s="14" t="n"/>
      <c r="R49" s="14" t="n"/>
      <c r="S49" s="313" t="n"/>
      <c r="T49" s="14" t="n"/>
      <c r="U49" s="14" t="n"/>
      <c r="V49" s="60">
        <f>+C49-D49</f>
        <v/>
      </c>
    </row>
    <row r="50" ht="14.25" customHeight="1" s="314">
      <c r="A50" s="52">
        <f>+despacho!C45</f>
        <v/>
      </c>
      <c r="B50" s="53">
        <f>+IF((C50/$N$15)&gt;0,(C50/$N$15)," ")</f>
        <v/>
      </c>
      <c r="C50" s="54">
        <f>+despacho!G45</f>
        <v/>
      </c>
      <c r="D50" s="54">
        <f>+despacho!I45</f>
        <v/>
      </c>
      <c r="E50" s="55">
        <f>IF(AND(B50&lt;$M$24,B50&gt;$M$25),1,0)</f>
        <v/>
      </c>
      <c r="F50" s="55">
        <f>IF(AND(B50&lt;$M$25,B50&gt;0),1,0)</f>
        <v/>
      </c>
      <c r="G50" s="56">
        <f>+despacho!J45</f>
        <v/>
      </c>
      <c r="H50" s="57">
        <f>+despacho!M45</f>
        <v/>
      </c>
      <c r="I50" s="58">
        <f>+despacho!K45</f>
        <v/>
      </c>
      <c r="J50" s="313">
        <f>+despacho!L45</f>
        <v/>
      </c>
      <c r="K50" s="313" t="n"/>
      <c r="L50" s="254" t="n"/>
      <c r="M50" s="14" t="n"/>
      <c r="N50" s="14" t="n"/>
      <c r="O50" s="14" t="n"/>
      <c r="P50" s="14" t="n"/>
      <c r="Q50" s="14" t="n"/>
      <c r="R50" s="14" t="n"/>
      <c r="S50" s="313" t="n"/>
      <c r="T50" s="14" t="n"/>
      <c r="U50" s="14" t="n"/>
      <c r="V50" s="60">
        <f>+C50-D50</f>
        <v/>
      </c>
    </row>
    <row r="51" ht="14.25" customHeight="1" s="314">
      <c r="A51" s="52">
        <f>+despacho!C46</f>
        <v/>
      </c>
      <c r="B51" s="53">
        <f>+IF((C51/$N$15)&gt;0,(C51/$N$15)," ")</f>
        <v/>
      </c>
      <c r="C51" s="54">
        <f>+despacho!G46</f>
        <v/>
      </c>
      <c r="D51" s="54">
        <f>+despacho!I46</f>
        <v/>
      </c>
      <c r="E51" s="55">
        <f>IF(AND(B51&lt;$M$24,B51&gt;$M$25),1,0)</f>
        <v/>
      </c>
      <c r="F51" s="55">
        <f>IF(AND(B51&lt;$M$25,B51&gt;0),1,0)</f>
        <v/>
      </c>
      <c r="G51" s="56">
        <f>+despacho!J46</f>
        <v/>
      </c>
      <c r="H51" s="57">
        <f>+despacho!M46</f>
        <v/>
      </c>
      <c r="I51" s="58">
        <f>+despacho!K46</f>
        <v/>
      </c>
      <c r="J51" s="313">
        <f>+despacho!L46</f>
        <v/>
      </c>
      <c r="K51" s="255" t="n"/>
      <c r="L51" s="256" t="n"/>
      <c r="M51" s="256" t="n"/>
      <c r="N51" s="256" t="n"/>
      <c r="O51" s="255" t="n"/>
      <c r="P51" s="255" t="n"/>
      <c r="Q51" s="313" t="n"/>
      <c r="R51" s="313" t="n"/>
      <c r="S51" s="313" t="n"/>
      <c r="T51" s="14" t="n"/>
      <c r="U51" s="14" t="n"/>
      <c r="V51" s="60">
        <f>+C51-D51</f>
        <v/>
      </c>
    </row>
    <row r="52" ht="14.25" customHeight="1" s="314">
      <c r="A52" s="52">
        <f>+despacho!C47</f>
        <v/>
      </c>
      <c r="B52" s="53">
        <f>+IF((C52/$N$15)&gt;0,(C52/$N$15)," ")</f>
        <v/>
      </c>
      <c r="C52" s="54">
        <f>+despacho!G47</f>
        <v/>
      </c>
      <c r="D52" s="54">
        <f>+despacho!I47</f>
        <v/>
      </c>
      <c r="E52" s="55">
        <f>IF(AND(B52&lt;$M$24,B52&gt;$M$25),1,0)</f>
        <v/>
      </c>
      <c r="F52" s="55">
        <f>IF(AND(B52&lt;$M$25,B52&gt;0),1,0)</f>
        <v/>
      </c>
      <c r="G52" s="56">
        <f>+despacho!J47</f>
        <v/>
      </c>
      <c r="H52" s="57">
        <f>+despacho!M47</f>
        <v/>
      </c>
      <c r="I52" s="58">
        <f>+despacho!K47</f>
        <v/>
      </c>
      <c r="J52" s="313">
        <f>+despacho!L47</f>
        <v/>
      </c>
      <c r="K52" s="313" t="n"/>
      <c r="L52" s="254" t="n"/>
      <c r="M52" s="254" t="n"/>
      <c r="N52" s="254" t="n"/>
      <c r="O52" s="313" t="n"/>
      <c r="P52" s="313" t="n"/>
      <c r="Q52" s="313" t="n"/>
      <c r="R52" s="313" t="n"/>
      <c r="S52" s="313" t="n"/>
      <c r="T52" s="14" t="n"/>
      <c r="U52" s="14" t="n"/>
      <c r="V52" s="60">
        <f>+C52-D52</f>
        <v/>
      </c>
    </row>
    <row r="53" ht="14.25" customHeight="1" s="314">
      <c r="A53" s="52">
        <f>+despacho!C48</f>
        <v/>
      </c>
      <c r="B53" s="53">
        <f>+IF((C53/$N$15)&gt;0,(C53/$N$15)," ")</f>
        <v/>
      </c>
      <c r="C53" s="54">
        <f>+despacho!G48</f>
        <v/>
      </c>
      <c r="D53" s="54">
        <f>+despacho!I48</f>
        <v/>
      </c>
      <c r="E53" s="55">
        <f>IF(AND(B53&lt;$M$24,B53&gt;$M$25),1,0)</f>
        <v/>
      </c>
      <c r="F53" s="55">
        <f>IF(AND(B53&lt;$M$25,B53&gt;0),1,0)</f>
        <v/>
      </c>
      <c r="G53" s="56">
        <f>+despacho!J48</f>
        <v/>
      </c>
      <c r="H53" s="57">
        <f>+despacho!M48</f>
        <v/>
      </c>
      <c r="I53" s="58">
        <f>+despacho!K48</f>
        <v/>
      </c>
      <c r="J53" s="313">
        <f>+despacho!L48</f>
        <v/>
      </c>
      <c r="K53" s="313" t="n"/>
      <c r="L53" s="254" t="n"/>
      <c r="M53" s="254" t="n"/>
      <c r="N53" s="254" t="n"/>
      <c r="O53" s="313" t="n"/>
      <c r="P53" s="313" t="n"/>
      <c r="Q53" s="313" t="n"/>
      <c r="R53" s="313" t="n"/>
      <c r="S53" s="313" t="n"/>
      <c r="T53" s="14" t="n"/>
      <c r="U53" s="14" t="n"/>
      <c r="V53" s="60">
        <f>+C53-D53</f>
        <v/>
      </c>
    </row>
    <row r="54" ht="14.25" customHeight="1" s="314">
      <c r="A54" s="52">
        <f>+despacho!C49</f>
        <v/>
      </c>
      <c r="B54" s="53">
        <f>+IF((C54/$N$15)&gt;0,(C54/$N$15)," ")</f>
        <v/>
      </c>
      <c r="C54" s="54">
        <f>+despacho!G49</f>
        <v/>
      </c>
      <c r="D54" s="54">
        <f>+despacho!I49</f>
        <v/>
      </c>
      <c r="E54" s="55">
        <f>IF(AND(B54&lt;$M$24,B54&gt;$M$25),1,0)</f>
        <v/>
      </c>
      <c r="F54" s="55">
        <f>IF(AND(B54&lt;$M$25,B54&gt;0),1,0)</f>
        <v/>
      </c>
      <c r="G54" s="56">
        <f>+despacho!J49</f>
        <v/>
      </c>
      <c r="H54" s="57">
        <f>+despacho!M49</f>
        <v/>
      </c>
      <c r="I54" s="58">
        <f>+despacho!K49</f>
        <v/>
      </c>
      <c r="J54" s="313">
        <f>+despacho!L49</f>
        <v/>
      </c>
      <c r="K54" s="313" t="n"/>
      <c r="L54" s="254" t="n"/>
      <c r="M54" s="254" t="n"/>
      <c r="N54" s="254" t="n"/>
      <c r="O54" s="313" t="n"/>
      <c r="P54" s="313" t="n"/>
      <c r="Q54" s="313" t="n"/>
      <c r="R54" s="313" t="n"/>
      <c r="S54" s="313" t="n"/>
      <c r="T54" s="14" t="n"/>
      <c r="U54" s="14" t="n"/>
      <c r="V54" s="60">
        <f>+C54-D54</f>
        <v/>
      </c>
    </row>
    <row r="55" ht="14.25" customHeight="1" s="314">
      <c r="A55" s="52">
        <f>+despacho!C50</f>
        <v/>
      </c>
      <c r="B55" s="53">
        <f>+IF((C55/$N$15)&gt;0,(C55/$N$15)," ")</f>
        <v/>
      </c>
      <c r="C55" s="54">
        <f>+despacho!G50</f>
        <v/>
      </c>
      <c r="D55" s="54">
        <f>+despacho!I50</f>
        <v/>
      </c>
      <c r="E55" s="55">
        <f>IF(AND(B55&lt;$M$24,B55&gt;$M$25),1,0)</f>
        <v/>
      </c>
      <c r="F55" s="55">
        <f>IF(AND(B55&lt;$M$25,B55&gt;0),1,0)</f>
        <v/>
      </c>
      <c r="G55" s="56">
        <f>+despacho!J50</f>
        <v/>
      </c>
      <c r="H55" s="57">
        <f>+despacho!M50</f>
        <v/>
      </c>
      <c r="I55" s="58">
        <f>+despacho!K50</f>
        <v/>
      </c>
      <c r="J55" s="313">
        <f>+despacho!L50</f>
        <v/>
      </c>
      <c r="K55" s="313" t="n"/>
      <c r="L55" s="254" t="n"/>
      <c r="M55" s="254" t="n"/>
      <c r="N55" s="254" t="n"/>
      <c r="O55" s="313" t="n"/>
      <c r="P55" s="313" t="n"/>
      <c r="Q55" s="313" t="n"/>
      <c r="R55" s="313" t="n"/>
      <c r="S55" s="313" t="n"/>
      <c r="T55" s="14" t="n"/>
      <c r="U55" s="14" t="n"/>
      <c r="V55" s="60">
        <f>+C55-D55</f>
        <v/>
      </c>
    </row>
    <row r="56" ht="14.25" customHeight="1" s="314">
      <c r="A56" s="52">
        <f>+despacho!C51</f>
        <v/>
      </c>
      <c r="B56" s="53">
        <f>+IF((C56/$N$15)&gt;0,(C56/$N$15)," ")</f>
        <v/>
      </c>
      <c r="C56" s="54">
        <f>+despacho!G51</f>
        <v/>
      </c>
      <c r="D56" s="54">
        <f>+despacho!I51</f>
        <v/>
      </c>
      <c r="E56" s="55">
        <f>IF(AND(B56&lt;$M$24,B56&gt;$M$25),1,0)</f>
        <v/>
      </c>
      <c r="F56" s="55">
        <f>IF(AND(B56&lt;$M$25,B56&gt;0),1,0)</f>
        <v/>
      </c>
      <c r="G56" s="56">
        <f>+despacho!J51</f>
        <v/>
      </c>
      <c r="H56" s="57">
        <f>+despacho!M51</f>
        <v/>
      </c>
      <c r="I56" s="58">
        <f>+despacho!K51</f>
        <v/>
      </c>
      <c r="J56" s="313">
        <f>+despacho!L51</f>
        <v/>
      </c>
      <c r="K56" s="313" t="n"/>
      <c r="L56" s="254" t="n"/>
      <c r="M56" s="254" t="n"/>
      <c r="N56" s="254" t="n"/>
      <c r="O56" s="313" t="n"/>
      <c r="P56" s="313" t="n"/>
      <c r="Q56" s="313" t="n"/>
      <c r="R56" s="313" t="n"/>
      <c r="S56" s="313" t="n"/>
      <c r="T56" s="14" t="n"/>
      <c r="U56" s="14" t="n"/>
      <c r="V56" s="60">
        <f>+C56-D56</f>
        <v/>
      </c>
    </row>
    <row r="57" ht="14.25" customHeight="1" s="314">
      <c r="A57" s="52">
        <f>+despacho!C52</f>
        <v/>
      </c>
      <c r="B57" s="53">
        <f>+IF((C57/$N$15)&gt;0,(C57/$N$15)," ")</f>
        <v/>
      </c>
      <c r="C57" s="54">
        <f>+despacho!G52</f>
        <v/>
      </c>
      <c r="D57" s="54">
        <f>+despacho!I52</f>
        <v/>
      </c>
      <c r="E57" s="55">
        <f>IF(AND(B57&lt;$M$24,B57&gt;$M$25),1,0)</f>
        <v/>
      </c>
      <c r="F57" s="55">
        <f>IF(AND(B57&lt;$M$25,B57&gt;0),1,0)</f>
        <v/>
      </c>
      <c r="G57" s="56">
        <f>+despacho!J52</f>
        <v/>
      </c>
      <c r="H57" s="57">
        <f>+despacho!M52</f>
        <v/>
      </c>
      <c r="I57" s="58">
        <f>+despacho!K52</f>
        <v/>
      </c>
      <c r="J57" s="313">
        <f>+despacho!L52</f>
        <v/>
      </c>
      <c r="K57" s="313" t="n"/>
      <c r="L57" s="254" t="n"/>
      <c r="M57" s="254" t="n"/>
      <c r="N57" s="254" t="n"/>
      <c r="O57" s="313" t="n"/>
      <c r="P57" s="313" t="n"/>
      <c r="Q57" s="313" t="n"/>
      <c r="R57" s="313" t="n"/>
      <c r="S57" s="313" t="n"/>
      <c r="T57" s="14" t="n"/>
      <c r="U57" s="14" t="n"/>
      <c r="V57" s="60">
        <f>+C57-D57</f>
        <v/>
      </c>
    </row>
    <row r="58" ht="14.25" customHeight="1" s="314">
      <c r="A58" s="52">
        <f>+despacho!C53</f>
        <v/>
      </c>
      <c r="B58" s="53">
        <f>+IF((C58/$N$15)&gt;0,(C58/$N$15)," ")</f>
        <v/>
      </c>
      <c r="C58" s="54">
        <f>+despacho!G53</f>
        <v/>
      </c>
      <c r="D58" s="54">
        <f>+despacho!I53</f>
        <v/>
      </c>
      <c r="E58" s="55">
        <f>IF(AND(B58&lt;$M$24,B58&gt;$M$25),1,0)</f>
        <v/>
      </c>
      <c r="F58" s="55">
        <f>IF(AND(B58&lt;$M$25,B58&gt;0),1,0)</f>
        <v/>
      </c>
      <c r="G58" s="56">
        <f>+despacho!J53</f>
        <v/>
      </c>
      <c r="H58" s="57">
        <f>+despacho!M53</f>
        <v/>
      </c>
      <c r="I58" s="58">
        <f>+despacho!K53</f>
        <v/>
      </c>
      <c r="J58" s="313">
        <f>+despacho!L53</f>
        <v/>
      </c>
      <c r="K58" s="313" t="n"/>
      <c r="L58" s="254" t="n"/>
      <c r="M58" s="254" t="n"/>
      <c r="N58" s="254" t="n"/>
      <c r="O58" s="313" t="n"/>
      <c r="P58" s="313" t="n"/>
      <c r="Q58" s="313" t="n"/>
      <c r="R58" s="313" t="n"/>
      <c r="S58" s="313" t="n"/>
      <c r="T58" s="14" t="n"/>
      <c r="U58" s="14" t="n"/>
      <c r="V58" s="60">
        <f>+C58-D58</f>
        <v/>
      </c>
    </row>
    <row r="59" ht="14.25" customHeight="1" s="314">
      <c r="A59" s="52">
        <f>+despacho!C54</f>
        <v/>
      </c>
      <c r="B59" s="53">
        <f>+IF((C59/$N$15)&gt;0,(C59/$N$15)," ")</f>
        <v/>
      </c>
      <c r="C59" s="54">
        <f>+despacho!G54</f>
        <v/>
      </c>
      <c r="D59" s="54">
        <f>+despacho!I54</f>
        <v/>
      </c>
      <c r="E59" s="55">
        <f>IF(AND(B59&lt;$M$24,B59&gt;$M$25),1,0)</f>
        <v/>
      </c>
      <c r="F59" s="55">
        <f>IF(AND(B59&lt;$M$25,B59&gt;0),1,0)</f>
        <v/>
      </c>
      <c r="G59" s="56">
        <f>+despacho!J54</f>
        <v/>
      </c>
      <c r="H59" s="57">
        <f>+despacho!M54</f>
        <v/>
      </c>
      <c r="I59" s="58">
        <f>+despacho!K54</f>
        <v/>
      </c>
      <c r="J59" s="313">
        <f>+despacho!L54</f>
        <v/>
      </c>
      <c r="K59" s="313" t="n"/>
      <c r="L59" s="254" t="n"/>
      <c r="M59" s="254" t="n"/>
      <c r="N59" s="254" t="n"/>
      <c r="O59" s="313" t="n"/>
      <c r="P59" s="313" t="n"/>
      <c r="Q59" s="313" t="n"/>
      <c r="R59" s="313" t="n"/>
      <c r="S59" s="313" t="n"/>
      <c r="T59" s="14" t="n"/>
      <c r="U59" s="14" t="n"/>
      <c r="V59" s="60">
        <f>+C59-D59</f>
        <v/>
      </c>
    </row>
    <row r="60" ht="14.25" customHeight="1" s="314">
      <c r="A60" s="52">
        <f>+despacho!C55</f>
        <v/>
      </c>
      <c r="B60" s="53">
        <f>+IF((C60/$N$15)&gt;0,(C60/$N$15)," ")</f>
        <v/>
      </c>
      <c r="C60" s="54">
        <f>+despacho!G55</f>
        <v/>
      </c>
      <c r="D60" s="54">
        <f>+despacho!I55</f>
        <v/>
      </c>
      <c r="E60" s="55">
        <f>IF(AND(B60&lt;$M$24,B60&gt;$M$25),1,0)</f>
        <v/>
      </c>
      <c r="F60" s="55">
        <f>IF(AND(B60&lt;$M$25,B60&gt;0),1,0)</f>
        <v/>
      </c>
      <c r="G60" s="56">
        <f>+despacho!J55</f>
        <v/>
      </c>
      <c r="H60" s="57">
        <f>+despacho!M55</f>
        <v/>
      </c>
      <c r="I60" s="58">
        <f>+despacho!K55</f>
        <v/>
      </c>
      <c r="J60" s="313">
        <f>+despacho!L55</f>
        <v/>
      </c>
      <c r="K60" s="313" t="n"/>
      <c r="L60" s="254" t="n"/>
      <c r="M60" s="254" t="n"/>
      <c r="N60" s="254" t="n"/>
      <c r="O60" s="313" t="n"/>
      <c r="P60" s="313" t="n"/>
      <c r="Q60" s="313" t="n"/>
      <c r="R60" s="313" t="n"/>
      <c r="S60" s="313" t="n"/>
      <c r="T60" s="14" t="n"/>
      <c r="U60" s="14" t="n"/>
      <c r="V60" s="60">
        <f>+C60-D60</f>
        <v/>
      </c>
    </row>
    <row r="61" ht="14.25" customHeight="1" s="314">
      <c r="A61" s="52">
        <f>+despacho!C56</f>
        <v/>
      </c>
      <c r="B61" s="53">
        <f>+IF((C61/$N$15)&gt;0,(C61/$N$15)," ")</f>
        <v/>
      </c>
      <c r="C61" s="54">
        <f>+despacho!G56</f>
        <v/>
      </c>
      <c r="D61" s="54">
        <f>+despacho!I56</f>
        <v/>
      </c>
      <c r="E61" s="55">
        <f>IF(AND(B61&lt;$M$24,B61&gt;$M$25),1,0)</f>
        <v/>
      </c>
      <c r="F61" s="55">
        <f>IF(AND(B61&lt;$M$25,B61&gt;0),1,0)</f>
        <v/>
      </c>
      <c r="G61" s="56">
        <f>+despacho!J56</f>
        <v/>
      </c>
      <c r="H61" s="57">
        <f>+despacho!M56</f>
        <v/>
      </c>
      <c r="I61" s="58">
        <f>+despacho!K56</f>
        <v/>
      </c>
      <c r="J61" s="313">
        <f>+despacho!L56</f>
        <v/>
      </c>
      <c r="K61" s="313" t="n"/>
      <c r="L61" s="254" t="n"/>
      <c r="M61" s="254" t="n"/>
      <c r="N61" s="254" t="n"/>
      <c r="O61" s="313" t="n"/>
      <c r="P61" s="313" t="n"/>
      <c r="Q61" s="313" t="n"/>
      <c r="R61" s="313" t="n"/>
      <c r="S61" s="313" t="n"/>
      <c r="T61" s="14" t="n"/>
      <c r="U61" s="14" t="n"/>
      <c r="V61" s="60">
        <f>+C61-D61</f>
        <v/>
      </c>
    </row>
    <row r="62" ht="14.25" customHeight="1" s="314">
      <c r="A62" s="52">
        <f>+despacho!C57</f>
        <v/>
      </c>
      <c r="B62" s="53">
        <f>+IF((C62/$N$15)&gt;0,(C62/$N$15)," ")</f>
        <v/>
      </c>
      <c r="C62" s="54">
        <f>+despacho!G57</f>
        <v/>
      </c>
      <c r="D62" s="54">
        <f>+despacho!I57</f>
        <v/>
      </c>
      <c r="E62" s="55">
        <f>IF(AND(B62&lt;$M$24,B62&gt;$M$25),1,0)</f>
        <v/>
      </c>
      <c r="F62" s="55">
        <f>IF(AND(B62&lt;$M$25,B62&gt;0),1,0)</f>
        <v/>
      </c>
      <c r="G62" s="56">
        <f>+despacho!J57</f>
        <v/>
      </c>
      <c r="H62" s="57">
        <f>+despacho!M57</f>
        <v/>
      </c>
      <c r="I62" s="58">
        <f>+despacho!K57</f>
        <v/>
      </c>
      <c r="J62" s="313">
        <f>+despacho!L57</f>
        <v/>
      </c>
      <c r="K62" s="313" t="n"/>
      <c r="L62" s="254" t="n"/>
      <c r="M62" s="254" t="n"/>
      <c r="N62" s="254" t="n"/>
      <c r="O62" s="313" t="n"/>
      <c r="P62" s="313" t="n"/>
      <c r="Q62" s="313" t="n"/>
      <c r="R62" s="313" t="n"/>
      <c r="S62" s="313" t="n"/>
      <c r="T62" s="14" t="n"/>
      <c r="U62" s="14" t="n"/>
      <c r="V62" s="60">
        <f>+C62-D62</f>
        <v/>
      </c>
    </row>
    <row r="63" ht="14.25" customHeight="1" s="314">
      <c r="A63" s="52">
        <f>+despacho!C58</f>
        <v/>
      </c>
      <c r="B63" s="53">
        <f>+IF((C63/$N$15)&gt;0,(C63/$N$15)," ")</f>
        <v/>
      </c>
      <c r="C63" s="54">
        <f>+despacho!G58</f>
        <v/>
      </c>
      <c r="D63" s="54">
        <f>+despacho!I58</f>
        <v/>
      </c>
      <c r="E63" s="55">
        <f>IF(AND(B63&lt;$M$24,B63&gt;$M$25),1,0)</f>
        <v/>
      </c>
      <c r="F63" s="55">
        <f>IF(AND(B63&lt;$M$25,B63&gt;0),1,0)</f>
        <v/>
      </c>
      <c r="G63" s="56">
        <f>+despacho!J58</f>
        <v/>
      </c>
      <c r="H63" s="57">
        <f>+despacho!M58</f>
        <v/>
      </c>
      <c r="I63" s="58">
        <f>+despacho!K58</f>
        <v/>
      </c>
      <c r="J63" s="313">
        <f>+despacho!L58</f>
        <v/>
      </c>
      <c r="K63" s="313" t="n"/>
      <c r="L63" s="254" t="n"/>
      <c r="M63" s="254" t="n"/>
      <c r="N63" s="254" t="n"/>
      <c r="O63" s="313" t="n"/>
      <c r="P63" s="313" t="n"/>
      <c r="Q63" s="313" t="n"/>
      <c r="R63" s="313" t="n"/>
      <c r="S63" s="313" t="n"/>
      <c r="T63" s="14" t="n"/>
      <c r="U63" s="14" t="n"/>
      <c r="V63" s="60">
        <f>+C63-D63</f>
        <v/>
      </c>
    </row>
    <row r="64" ht="14.25" customHeight="1" s="314">
      <c r="A64" s="52">
        <f>+despacho!C59</f>
        <v/>
      </c>
      <c r="B64" s="53">
        <f>+IF((C64/$N$15)&gt;0,(C64/$N$15)," ")</f>
        <v/>
      </c>
      <c r="C64" s="54">
        <f>+despacho!G59</f>
        <v/>
      </c>
      <c r="D64" s="54">
        <f>+despacho!I59</f>
        <v/>
      </c>
      <c r="E64" s="55">
        <f>IF(AND(B64&lt;$M$24,B64&gt;$M$25),1,0)</f>
        <v/>
      </c>
      <c r="F64" s="55">
        <f>IF(AND(B64&lt;$M$25,B64&gt;0),1,0)</f>
        <v/>
      </c>
      <c r="G64" s="56">
        <f>+despacho!J59</f>
        <v/>
      </c>
      <c r="H64" s="57">
        <f>+despacho!M59</f>
        <v/>
      </c>
      <c r="I64" s="58">
        <f>+despacho!K59</f>
        <v/>
      </c>
      <c r="J64" s="313">
        <f>+despacho!L59</f>
        <v/>
      </c>
      <c r="K64" s="313" t="n"/>
      <c r="L64" s="254" t="n"/>
      <c r="M64" s="254" t="n"/>
      <c r="N64" s="254" t="n"/>
      <c r="O64" s="313" t="n"/>
      <c r="P64" s="313" t="n"/>
      <c r="Q64" s="313" t="n"/>
      <c r="R64" s="313" t="n"/>
      <c r="S64" s="313" t="n"/>
      <c r="T64" s="14" t="n"/>
      <c r="U64" s="14" t="n"/>
      <c r="V64" s="60">
        <f>+C64-D64</f>
        <v/>
      </c>
    </row>
    <row r="65" ht="14.25" customHeight="1" s="314">
      <c r="A65" s="52">
        <f>+despacho!C60</f>
        <v/>
      </c>
      <c r="B65" s="53">
        <f>+IF((C65/$N$15)&gt;0,(C65/$N$15)," ")</f>
        <v/>
      </c>
      <c r="C65" s="54">
        <f>+despacho!G60</f>
        <v/>
      </c>
      <c r="D65" s="54">
        <f>+despacho!I60</f>
        <v/>
      </c>
      <c r="E65" s="55">
        <f>IF(AND(B65&lt;$M$24,B65&gt;$M$25),1,0)</f>
        <v/>
      </c>
      <c r="F65" s="55">
        <f>IF(AND(B65&lt;$M$25,B65&gt;0),1,0)</f>
        <v/>
      </c>
      <c r="G65" s="56">
        <f>+despacho!J60</f>
        <v/>
      </c>
      <c r="H65" s="57">
        <f>+despacho!M60</f>
        <v/>
      </c>
      <c r="I65" s="58">
        <f>+despacho!K60</f>
        <v/>
      </c>
      <c r="J65" s="313">
        <f>+despacho!L60</f>
        <v/>
      </c>
      <c r="K65" s="313" t="n"/>
      <c r="L65" s="254" t="n"/>
      <c r="M65" s="254" t="n"/>
      <c r="N65" s="254" t="n"/>
      <c r="O65" s="313" t="n"/>
      <c r="P65" s="313" t="n"/>
      <c r="Q65" s="313" t="n"/>
      <c r="R65" s="313" t="n"/>
      <c r="S65" s="313" t="n"/>
      <c r="T65" s="14" t="n"/>
      <c r="U65" s="14" t="n"/>
      <c r="V65" s="60">
        <f>+C65-D65</f>
        <v/>
      </c>
    </row>
    <row r="66" ht="14.25" customHeight="1" s="314">
      <c r="A66" s="52">
        <f>+despacho!C61</f>
        <v/>
      </c>
      <c r="B66" s="53">
        <f>+IF((C66/$N$15)&gt;0,(C66/$N$15)," ")</f>
        <v/>
      </c>
      <c r="C66" s="54">
        <f>+despacho!G61</f>
        <v/>
      </c>
      <c r="D66" s="54">
        <f>+despacho!I61</f>
        <v/>
      </c>
      <c r="E66" s="55">
        <f>IF(AND(B66&lt;$M$24,B66&gt;$M$25),1,0)</f>
        <v/>
      </c>
      <c r="F66" s="55">
        <f>IF(AND(B66&lt;$M$25,B66&gt;0),1,0)</f>
        <v/>
      </c>
      <c r="G66" s="56">
        <f>+despacho!J61</f>
        <v/>
      </c>
      <c r="H66" s="57">
        <f>+despacho!M61</f>
        <v/>
      </c>
      <c r="I66" s="58">
        <f>+despacho!K61</f>
        <v/>
      </c>
      <c r="J66" s="313">
        <f>+despacho!L61</f>
        <v/>
      </c>
      <c r="K66" s="313" t="n"/>
      <c r="L66" s="254" t="n"/>
      <c r="M66" s="254" t="n"/>
      <c r="N66" s="254" t="n"/>
      <c r="O66" s="313" t="n"/>
      <c r="P66" s="313" t="n"/>
      <c r="Q66" s="313" t="n"/>
      <c r="R66" s="313" t="n"/>
      <c r="S66" s="313" t="n"/>
      <c r="T66" s="14" t="n"/>
      <c r="U66" s="14" t="n"/>
      <c r="V66" s="60">
        <f>+C66-D66</f>
        <v/>
      </c>
    </row>
    <row r="67" ht="14.25" customHeight="1" s="314">
      <c r="A67" s="52">
        <f>+despacho!C62</f>
        <v/>
      </c>
      <c r="B67" s="53">
        <f>+IF((C67/$N$15)&gt;0,(C67/$N$15)," ")</f>
        <v/>
      </c>
      <c r="C67" s="54">
        <f>+despacho!G62</f>
        <v/>
      </c>
      <c r="D67" s="54">
        <f>+despacho!I62</f>
        <v/>
      </c>
      <c r="E67" s="55">
        <f>IF(AND(B67&lt;$M$24,B67&gt;$M$25),1,0)</f>
        <v/>
      </c>
      <c r="F67" s="55">
        <f>IF(AND(B67&lt;$M$25,B67&gt;0),1,0)</f>
        <v/>
      </c>
      <c r="G67" s="56">
        <f>+despacho!J62</f>
        <v/>
      </c>
      <c r="H67" s="57">
        <f>+despacho!M62</f>
        <v/>
      </c>
      <c r="I67" s="58">
        <f>+despacho!K62</f>
        <v/>
      </c>
      <c r="J67" s="313">
        <f>+despacho!L62</f>
        <v/>
      </c>
      <c r="K67" s="313" t="n"/>
      <c r="L67" s="254" t="n"/>
      <c r="M67" s="254" t="n"/>
      <c r="N67" s="254" t="n"/>
      <c r="O67" s="313" t="n"/>
      <c r="P67" s="313" t="n"/>
      <c r="Q67" s="313" t="n"/>
      <c r="R67" s="313" t="n"/>
      <c r="S67" s="313" t="n"/>
      <c r="T67" s="14" t="n"/>
      <c r="U67" s="14" t="n"/>
      <c r="V67" s="60">
        <f>+C67-D67</f>
        <v/>
      </c>
    </row>
    <row r="68" ht="14.25" customHeight="1" s="314">
      <c r="A68" s="52">
        <f>+despacho!C63</f>
        <v/>
      </c>
      <c r="B68" s="53">
        <f>+IF((C68/$N$15)&gt;0,(C68/$N$15)," ")</f>
        <v/>
      </c>
      <c r="C68" s="54">
        <f>+despacho!G63</f>
        <v/>
      </c>
      <c r="D68" s="54">
        <f>+despacho!I63</f>
        <v/>
      </c>
      <c r="E68" s="55">
        <f>IF(AND(B68&lt;$M$24,B68&gt;$M$25),1,0)</f>
        <v/>
      </c>
      <c r="F68" s="55">
        <f>IF(AND(B68&lt;$M$25,B68&gt;0),1,0)</f>
        <v/>
      </c>
      <c r="G68" s="56">
        <f>+despacho!J63</f>
        <v/>
      </c>
      <c r="H68" s="57">
        <f>+despacho!M63</f>
        <v/>
      </c>
      <c r="I68" s="58">
        <f>+despacho!K63</f>
        <v/>
      </c>
      <c r="J68" s="313">
        <f>+despacho!L63</f>
        <v/>
      </c>
      <c r="K68" s="313" t="n"/>
      <c r="L68" s="254" t="n"/>
      <c r="M68" s="254" t="n"/>
      <c r="N68" s="254" t="n"/>
      <c r="O68" s="313" t="n"/>
      <c r="P68" s="313" t="n"/>
      <c r="Q68" s="313" t="n"/>
      <c r="R68" s="313" t="n"/>
      <c r="S68" s="313" t="n"/>
      <c r="T68" s="14" t="n"/>
      <c r="U68" s="14" t="n"/>
      <c r="V68" s="60">
        <f>+C68-D68</f>
        <v/>
      </c>
    </row>
    <row r="69" ht="14.25" customHeight="1" s="314">
      <c r="A69" s="52">
        <f>+despacho!C64</f>
        <v/>
      </c>
      <c r="B69" s="53">
        <f>+IF((C69/$N$15)&gt;0,(C69/$N$15)," ")</f>
        <v/>
      </c>
      <c r="C69" s="54">
        <f>+despacho!G64</f>
        <v/>
      </c>
      <c r="D69" s="54">
        <f>+despacho!I64</f>
        <v/>
      </c>
      <c r="E69" s="55">
        <f>IF(AND(B69&lt;$M$24,B69&gt;$M$25),1,0)</f>
        <v/>
      </c>
      <c r="F69" s="55">
        <f>IF(AND(B69&lt;$M$25,B69&gt;0),1,0)</f>
        <v/>
      </c>
      <c r="G69" s="56">
        <f>+despacho!J64</f>
        <v/>
      </c>
      <c r="H69" s="57">
        <f>+despacho!M64</f>
        <v/>
      </c>
      <c r="I69" s="58">
        <f>+despacho!K64</f>
        <v/>
      </c>
      <c r="J69" s="313">
        <f>+despacho!L64</f>
        <v/>
      </c>
      <c r="K69" s="313" t="n"/>
      <c r="L69" s="254" t="n"/>
      <c r="M69" s="254" t="n"/>
      <c r="N69" s="254" t="n"/>
      <c r="O69" s="313" t="n"/>
      <c r="P69" s="313" t="n"/>
      <c r="Q69" s="313" t="n"/>
      <c r="R69" s="313" t="n"/>
      <c r="S69" s="313" t="n"/>
      <c r="T69" s="14" t="n"/>
      <c r="U69" s="14" t="n"/>
      <c r="V69" s="60">
        <f>+C69-D69</f>
        <v/>
      </c>
    </row>
    <row r="70" ht="14.25" customHeight="1" s="314">
      <c r="A70" s="52">
        <f>+despacho!C65</f>
        <v/>
      </c>
      <c r="B70" s="53">
        <f>+IF((C70/$N$15)&gt;0,(C70/$N$15)," ")</f>
        <v/>
      </c>
      <c r="C70" s="54">
        <f>+despacho!G65</f>
        <v/>
      </c>
      <c r="D70" s="54">
        <f>+despacho!I65</f>
        <v/>
      </c>
      <c r="E70" s="55">
        <f>IF(AND(B70&lt;$M$24,B70&gt;$M$25),1,0)</f>
        <v/>
      </c>
      <c r="F70" s="55">
        <f>IF(AND(B70&lt;$M$25,B70&gt;0),1,0)</f>
        <v/>
      </c>
      <c r="G70" s="56">
        <f>+despacho!J65</f>
        <v/>
      </c>
      <c r="H70" s="57">
        <f>+despacho!M65</f>
        <v/>
      </c>
      <c r="I70" s="58">
        <f>+despacho!K65</f>
        <v/>
      </c>
      <c r="J70" s="313">
        <f>+despacho!L65</f>
        <v/>
      </c>
      <c r="K70" s="313" t="n"/>
      <c r="L70" s="254" t="n"/>
      <c r="M70" s="254" t="n"/>
      <c r="N70" s="254" t="n"/>
      <c r="O70" s="313" t="n"/>
      <c r="P70" s="313" t="n"/>
      <c r="Q70" s="313" t="n"/>
      <c r="R70" s="313" t="n"/>
      <c r="S70" s="313" t="n"/>
      <c r="T70" s="14" t="n"/>
      <c r="U70" s="14" t="n"/>
      <c r="V70" s="60">
        <f>+C70-D70</f>
        <v/>
      </c>
    </row>
    <row r="71" ht="14.25" customHeight="1" s="314">
      <c r="A71" s="52">
        <f>+despacho!C66</f>
        <v/>
      </c>
      <c r="B71" s="53">
        <f>+IF((C71/$N$15)&gt;0,(C71/$N$15)," ")</f>
        <v/>
      </c>
      <c r="C71" s="54">
        <f>+despacho!G66</f>
        <v/>
      </c>
      <c r="D71" s="54">
        <f>+despacho!I66</f>
        <v/>
      </c>
      <c r="E71" s="55">
        <f>IF(AND(B71&lt;$M$24,B71&gt;$M$25),1,0)</f>
        <v/>
      </c>
      <c r="F71" s="55">
        <f>IF(AND(B71&lt;$M$25,B71&gt;0),1,0)</f>
        <v/>
      </c>
      <c r="G71" s="56">
        <f>+despacho!J66</f>
        <v/>
      </c>
      <c r="H71" s="57">
        <f>+despacho!M66</f>
        <v/>
      </c>
      <c r="I71" s="58">
        <f>+despacho!K66</f>
        <v/>
      </c>
      <c r="J71" s="313">
        <f>+despacho!L66</f>
        <v/>
      </c>
      <c r="K71" s="313" t="n"/>
      <c r="L71" s="254" t="n"/>
      <c r="M71" s="254" t="n"/>
      <c r="N71" s="254" t="n"/>
      <c r="O71" s="313" t="n"/>
      <c r="P71" s="313" t="n"/>
      <c r="Q71" s="313" t="n"/>
      <c r="R71" s="313" t="n"/>
      <c r="S71" s="313" t="n"/>
      <c r="T71" s="14" t="n"/>
      <c r="U71" s="14" t="n"/>
      <c r="V71" s="60">
        <f>+C71-D71</f>
        <v/>
      </c>
    </row>
    <row r="72" ht="14.25" customHeight="1" s="314">
      <c r="A72" s="52">
        <f>+despacho!C67</f>
        <v/>
      </c>
      <c r="B72" s="53">
        <f>+IF((C72/$N$15)&gt;0,(C72/$N$15)," ")</f>
        <v/>
      </c>
      <c r="C72" s="54">
        <f>+despacho!G67</f>
        <v/>
      </c>
      <c r="D72" s="54">
        <f>+despacho!I67</f>
        <v/>
      </c>
      <c r="E72" s="55">
        <f>IF(AND(B72&lt;$M$24,B72&gt;$M$25),1,0)</f>
        <v/>
      </c>
      <c r="F72" s="55">
        <f>IF(AND(B72&lt;$M$25,B72&gt;0),1,0)</f>
        <v/>
      </c>
      <c r="G72" s="56">
        <f>+despacho!J67</f>
        <v/>
      </c>
      <c r="H72" s="57">
        <f>+despacho!M67</f>
        <v/>
      </c>
      <c r="I72" s="58">
        <f>+despacho!K67</f>
        <v/>
      </c>
      <c r="J72" s="313">
        <f>+despacho!L67</f>
        <v/>
      </c>
      <c r="K72" s="313" t="n"/>
      <c r="L72" s="254" t="n"/>
      <c r="M72" s="254" t="n"/>
      <c r="N72" s="254" t="n"/>
      <c r="O72" s="313" t="n"/>
      <c r="P72" s="313" t="n"/>
      <c r="Q72" s="313" t="n"/>
      <c r="R72" s="313" t="n"/>
      <c r="S72" s="313" t="n"/>
      <c r="T72" s="14" t="n"/>
      <c r="U72" s="14" t="n"/>
      <c r="V72" s="60">
        <f>+C72-D72</f>
        <v/>
      </c>
    </row>
    <row r="73" ht="14.25" customHeight="1" s="314">
      <c r="A73" s="52">
        <f>+despacho!C68</f>
        <v/>
      </c>
      <c r="B73" s="53">
        <f>+IF((C73/$N$15)&gt;0,(C73/$N$15)," ")</f>
        <v/>
      </c>
      <c r="C73" s="54">
        <f>+despacho!G68</f>
        <v/>
      </c>
      <c r="D73" s="54">
        <f>+despacho!I68</f>
        <v/>
      </c>
      <c r="E73" s="55">
        <f>IF(AND(B73&lt;$M$24,B73&gt;$M$25),1,0)</f>
        <v/>
      </c>
      <c r="F73" s="55">
        <f>IF(AND(B73&lt;$M$25,B73&gt;0),1,0)</f>
        <v/>
      </c>
      <c r="G73" s="56">
        <f>+despacho!J68</f>
        <v/>
      </c>
      <c r="H73" s="57">
        <f>+despacho!M68</f>
        <v/>
      </c>
      <c r="I73" s="58">
        <f>+despacho!K68</f>
        <v/>
      </c>
      <c r="J73" s="313">
        <f>+despacho!L68</f>
        <v/>
      </c>
      <c r="K73" s="313" t="n"/>
      <c r="L73" s="254" t="n"/>
      <c r="M73" s="254" t="n"/>
      <c r="N73" s="254" t="n"/>
      <c r="O73" s="313" t="n"/>
      <c r="P73" s="313" t="n"/>
      <c r="Q73" s="313" t="n"/>
      <c r="R73" s="313" t="n"/>
      <c r="S73" s="313" t="n"/>
      <c r="T73" s="14" t="n"/>
      <c r="U73" s="14" t="n"/>
      <c r="V73" s="60">
        <f>+C73-D73</f>
        <v/>
      </c>
    </row>
    <row r="74" ht="14.25" customHeight="1" s="314">
      <c r="A74" s="52">
        <f>+despacho!C69</f>
        <v/>
      </c>
      <c r="B74" s="53">
        <f>+IF((C74/$N$15)&gt;0,(C74/$N$15)," ")</f>
        <v/>
      </c>
      <c r="C74" s="54">
        <f>+despacho!G69</f>
        <v/>
      </c>
      <c r="D74" s="54">
        <f>+despacho!I69</f>
        <v/>
      </c>
      <c r="E74" s="55">
        <f>IF(AND(B74&lt;$M$24,B74&gt;$M$25),1,0)</f>
        <v/>
      </c>
      <c r="F74" s="55">
        <f>IF(AND(B74&lt;$M$25,B74&gt;0),1,0)</f>
        <v/>
      </c>
      <c r="G74" s="56">
        <f>+despacho!J69</f>
        <v/>
      </c>
      <c r="H74" s="57">
        <f>+despacho!M69</f>
        <v/>
      </c>
      <c r="I74" s="58">
        <f>+despacho!K69</f>
        <v/>
      </c>
      <c r="J74" s="313">
        <f>+despacho!L69</f>
        <v/>
      </c>
      <c r="K74" s="313" t="n"/>
      <c r="L74" s="254" t="n"/>
      <c r="M74" s="254" t="n"/>
      <c r="N74" s="254" t="n"/>
      <c r="O74" s="313" t="n"/>
      <c r="P74" s="313" t="n"/>
      <c r="Q74" s="313" t="n"/>
      <c r="R74" s="313" t="n"/>
      <c r="S74" s="313" t="n"/>
      <c r="T74" s="14" t="n"/>
      <c r="U74" s="14" t="n"/>
      <c r="V74" s="60">
        <f>+C74-D74</f>
        <v/>
      </c>
    </row>
    <row r="75" ht="14.25" customHeight="1" s="314">
      <c r="A75" s="52">
        <f>+despacho!C70</f>
        <v/>
      </c>
      <c r="B75" s="53">
        <f>+IF((C75/$N$15)&gt;0,(C75/$N$15)," ")</f>
        <v/>
      </c>
      <c r="C75" s="54">
        <f>+despacho!G70</f>
        <v/>
      </c>
      <c r="D75" s="54">
        <f>+despacho!I70</f>
        <v/>
      </c>
      <c r="E75" s="55">
        <f>IF(AND(B75&lt;$M$24,B75&gt;$M$25),1,0)</f>
        <v/>
      </c>
      <c r="F75" s="55">
        <f>IF(AND(B75&lt;$M$25,B75&gt;0),1,0)</f>
        <v/>
      </c>
      <c r="G75" s="56">
        <f>+despacho!J70</f>
        <v/>
      </c>
      <c r="H75" s="57">
        <f>+despacho!M70</f>
        <v/>
      </c>
      <c r="I75" s="58">
        <f>+despacho!K70</f>
        <v/>
      </c>
      <c r="J75" s="313">
        <f>+despacho!L70</f>
        <v/>
      </c>
      <c r="K75" s="313" t="n"/>
      <c r="L75" s="254" t="n"/>
      <c r="M75" s="254" t="n"/>
      <c r="N75" s="254" t="n"/>
      <c r="O75" s="313" t="n"/>
      <c r="P75" s="313" t="n"/>
      <c r="Q75" s="313" t="n"/>
      <c r="R75" s="313" t="n"/>
      <c r="S75" s="313" t="n"/>
      <c r="T75" s="14" t="n"/>
      <c r="U75" s="14" t="n"/>
      <c r="V75" s="60">
        <f>+C75-D75</f>
        <v/>
      </c>
    </row>
    <row r="76" ht="14.25" customHeight="1" s="314">
      <c r="A76" s="52">
        <f>+despacho!C71</f>
        <v/>
      </c>
      <c r="B76" s="53">
        <f>+IF((C76/$N$15)&gt;0,(C76/$N$15)," ")</f>
        <v/>
      </c>
      <c r="C76" s="54">
        <f>+despacho!G71</f>
        <v/>
      </c>
      <c r="D76" s="54">
        <f>+despacho!I71</f>
        <v/>
      </c>
      <c r="E76" s="55">
        <f>IF(AND(B76&lt;$M$24,B76&gt;$M$25),1,0)</f>
        <v/>
      </c>
      <c r="F76" s="55">
        <f>IF(AND(B76&lt;$M$25,B76&gt;0),1,0)</f>
        <v/>
      </c>
      <c r="G76" s="56">
        <f>+despacho!J71</f>
        <v/>
      </c>
      <c r="H76" s="57">
        <f>+despacho!M71</f>
        <v/>
      </c>
      <c r="I76" s="58">
        <f>+despacho!K71</f>
        <v/>
      </c>
      <c r="J76" s="313">
        <f>+despacho!L71</f>
        <v/>
      </c>
      <c r="K76" s="313" t="n"/>
      <c r="L76" s="254" t="n"/>
      <c r="M76" s="254" t="n"/>
      <c r="N76" s="254" t="n"/>
      <c r="O76" s="313" t="n"/>
      <c r="P76" s="313" t="n"/>
      <c r="Q76" s="313" t="n"/>
      <c r="R76" s="313" t="n"/>
      <c r="S76" s="313" t="n"/>
      <c r="T76" s="14" t="n"/>
      <c r="U76" s="14" t="n"/>
      <c r="V76" s="60">
        <f>+C76-D76</f>
        <v/>
      </c>
    </row>
    <row r="77" ht="14.25" customHeight="1" s="314">
      <c r="A77" s="52">
        <f>+despacho!C72</f>
        <v/>
      </c>
      <c r="B77" s="53">
        <f>+IF((C77/$N$15)&gt;0,(C77/$N$15)," ")</f>
        <v/>
      </c>
      <c r="C77" s="54">
        <f>+despacho!G72</f>
        <v/>
      </c>
      <c r="D77" s="54">
        <f>+despacho!I72</f>
        <v/>
      </c>
      <c r="E77" s="55">
        <f>IF(AND(B77&lt;$M$24,B77&gt;$M$25),1,0)</f>
        <v/>
      </c>
      <c r="F77" s="55">
        <f>IF(AND(B77&lt;$M$25,B77&gt;0),1,0)</f>
        <v/>
      </c>
      <c r="G77" s="56">
        <f>+despacho!J72</f>
        <v/>
      </c>
      <c r="H77" s="57">
        <f>+despacho!M72</f>
        <v/>
      </c>
      <c r="I77" s="58">
        <f>+despacho!K72</f>
        <v/>
      </c>
      <c r="J77" s="313">
        <f>+despacho!L72</f>
        <v/>
      </c>
      <c r="K77" s="313" t="n"/>
      <c r="L77" s="254" t="n"/>
      <c r="M77" s="254" t="n"/>
      <c r="N77" s="254" t="n"/>
      <c r="O77" s="313" t="n"/>
      <c r="P77" s="313" t="n"/>
      <c r="Q77" s="313" t="n"/>
      <c r="R77" s="313" t="n"/>
      <c r="S77" s="313" t="n"/>
      <c r="T77" s="14" t="n"/>
      <c r="U77" s="14" t="n"/>
      <c r="V77" s="60">
        <f>+C77-D77</f>
        <v/>
      </c>
    </row>
    <row r="78" ht="14.25" customHeight="1" s="314">
      <c r="A78" s="52">
        <f>+despacho!C73</f>
        <v/>
      </c>
      <c r="B78" s="53">
        <f>+IF((C78/$N$15)&gt;0,(C78/$N$15)," ")</f>
        <v/>
      </c>
      <c r="C78" s="54">
        <f>+despacho!G73</f>
        <v/>
      </c>
      <c r="D78" s="54">
        <f>+despacho!I73</f>
        <v/>
      </c>
      <c r="E78" s="55">
        <f>IF(AND(B78&lt;$M$24,B78&gt;$M$25),1,0)</f>
        <v/>
      </c>
      <c r="F78" s="55">
        <f>IF(AND(B78&lt;$M$25,B78&gt;0),1,0)</f>
        <v/>
      </c>
      <c r="G78" s="56">
        <f>+despacho!J73</f>
        <v/>
      </c>
      <c r="H78" s="57">
        <f>+despacho!M73</f>
        <v/>
      </c>
      <c r="I78" s="58">
        <f>+despacho!K73</f>
        <v/>
      </c>
      <c r="J78" s="313">
        <f>+despacho!L73</f>
        <v/>
      </c>
      <c r="K78" s="313" t="n"/>
      <c r="L78" s="254" t="n"/>
      <c r="M78" s="254" t="n"/>
      <c r="N78" s="254" t="n"/>
      <c r="O78" s="313" t="n"/>
      <c r="P78" s="313" t="n"/>
      <c r="Q78" s="313" t="n"/>
      <c r="R78" s="313" t="n"/>
      <c r="S78" s="313" t="n"/>
      <c r="T78" s="14" t="n"/>
      <c r="U78" s="14" t="n"/>
      <c r="V78" s="60">
        <f>+C78-D78</f>
        <v/>
      </c>
    </row>
    <row r="79" ht="14.25" customHeight="1" s="314">
      <c r="A79" s="47">
        <f>+COUNT(B7:B78)</f>
        <v/>
      </c>
      <c r="B79" s="257">
        <f>SUM(B7:B78)</f>
        <v/>
      </c>
      <c r="C79" s="257">
        <f>SUM(C7:C78)</f>
        <v/>
      </c>
      <c r="D79" s="257">
        <f>SUM(D7:D78)</f>
        <v/>
      </c>
      <c r="E79" s="257">
        <f>SUM(E7:E78)</f>
        <v/>
      </c>
      <c r="F79" s="257">
        <f>SUM(F7:F78)</f>
        <v/>
      </c>
      <c r="G79" s="257">
        <f>SUM(G7:G78)</f>
        <v/>
      </c>
      <c r="H79" s="257">
        <f>SUM(H7:H78)</f>
        <v/>
      </c>
      <c r="I79" s="257">
        <f>SUM(I7:I78)</f>
        <v/>
      </c>
      <c r="J79" s="313" t="n"/>
      <c r="K79" s="14" t="n"/>
      <c r="L79" s="14" t="n"/>
      <c r="M79" s="20" t="n"/>
      <c r="N79" s="258" t="n"/>
      <c r="O79" s="258" t="n"/>
      <c r="P79" s="258" t="n"/>
      <c r="Q79" s="258" t="n"/>
      <c r="R79" s="258" t="n"/>
      <c r="S79" s="258" t="n"/>
      <c r="T79" s="14" t="n"/>
      <c r="U79" s="14" t="n"/>
      <c r="V79" s="14" t="n"/>
    </row>
    <row r="80" ht="14.25" customHeight="1" s="314"/>
    <row r="81" ht="14.25" customHeight="1" s="314"/>
    <row r="82" ht="14.25" customHeight="1" s="314"/>
    <row r="83" ht="14.25" customHeight="1" s="314"/>
    <row r="84" ht="14.25" customHeight="1" s="314"/>
    <row r="85" ht="14.25" customHeight="1" s="314"/>
    <row r="86" ht="14.25" customHeight="1" s="314"/>
    <row r="87" ht="14.25" customHeight="1" s="314"/>
    <row r="88" ht="14.25" customHeight="1" s="314"/>
    <row r="89" ht="14.25" customHeight="1" s="314"/>
    <row r="90" ht="14.25" customHeight="1" s="314"/>
    <row r="91" ht="14.25" customHeight="1" s="314"/>
    <row r="92" ht="14.25" customHeight="1" s="314"/>
    <row r="93" ht="14.25" customHeight="1" s="314"/>
    <row r="94" ht="14.25" customHeight="1" s="314"/>
    <row r="95" ht="14.25" customHeight="1" s="314"/>
    <row r="96" ht="14.25" customHeight="1" s="314"/>
    <row r="97" ht="14.25" customHeight="1" s="314"/>
    <row r="98" ht="14.25" customHeight="1" s="314"/>
    <row r="99" ht="14.25" customHeight="1" s="314"/>
    <row r="100" ht="14.25" customHeight="1" s="314"/>
    <row r="101" ht="14.25" customHeight="1" s="314"/>
    <row r="102" ht="14.25" customHeight="1" s="314"/>
    <row r="103" ht="14.25" customHeight="1" s="314"/>
    <row r="104" ht="14.25" customHeight="1" s="314"/>
    <row r="105" ht="14.25" customHeight="1" s="314"/>
    <row r="106" ht="14.25" customHeight="1" s="314"/>
    <row r="107" ht="14.25" customHeight="1" s="314"/>
    <row r="108" ht="14.25" customHeight="1" s="314"/>
    <row r="109" ht="14.25" customHeight="1" s="314"/>
    <row r="110" ht="14.25" customHeight="1" s="314"/>
    <row r="111" ht="14.25" customHeight="1" s="314"/>
    <row r="112" ht="14.25" customHeight="1" s="314"/>
    <row r="113" ht="14.25" customHeight="1" s="314"/>
    <row r="114" ht="14.25" customHeight="1" s="314"/>
    <row r="115" ht="14.25" customHeight="1" s="314"/>
    <row r="116" ht="14.25" customHeight="1" s="314"/>
    <row r="117" ht="14.25" customHeight="1" s="314"/>
    <row r="118" ht="14.25" customHeight="1" s="314"/>
    <row r="119" ht="14.25" customHeight="1" s="314"/>
    <row r="120" ht="14.25" customHeight="1" s="314"/>
    <row r="121" ht="14.25" customHeight="1" s="314"/>
    <row r="122" ht="14.25" customHeight="1" s="314"/>
    <row r="123" ht="14.25" customHeight="1" s="314"/>
    <row r="124" ht="14.25" customHeight="1" s="314"/>
    <row r="125" ht="14.25" customHeight="1" s="314"/>
    <row r="126" ht="14.25" customHeight="1" s="314"/>
    <row r="127" ht="14.25" customHeight="1" s="314"/>
    <row r="128" ht="14.25" customHeight="1" s="314"/>
    <row r="129" ht="14.25" customHeight="1" s="314"/>
    <row r="130" ht="14.25" customHeight="1" s="314"/>
    <row r="131" ht="14.25" customHeight="1" s="314"/>
    <row r="132" ht="14.25" customHeight="1" s="314"/>
    <row r="133" ht="14.25" customHeight="1" s="314"/>
    <row r="134" ht="14.25" customHeight="1" s="314"/>
    <row r="135" ht="14.25" customHeight="1" s="314"/>
    <row r="136" ht="14.25" customHeight="1" s="314"/>
    <row r="137" ht="14.25" customHeight="1" s="314"/>
    <row r="138" ht="14.25" customHeight="1" s="314"/>
    <row r="139" ht="14.25" customHeight="1" s="314"/>
    <row r="140" ht="14.25" customHeight="1" s="314"/>
    <row r="141" ht="14.25" customHeight="1" s="314"/>
    <row r="142" ht="14.25" customHeight="1" s="314"/>
    <row r="143" ht="14.25" customHeight="1" s="314"/>
    <row r="144" ht="14.25" customHeight="1" s="314"/>
    <row r="145" ht="14.25" customHeight="1" s="314"/>
    <row r="146" ht="14.25" customHeight="1" s="314"/>
    <row r="147" ht="14.25" customHeight="1" s="314"/>
    <row r="148" ht="14.25" customHeight="1" s="314"/>
    <row r="149" ht="14.25" customHeight="1" s="314"/>
    <row r="150" ht="14.25" customHeight="1" s="314"/>
    <row r="151" ht="14.25" customHeight="1" s="314"/>
    <row r="152" ht="14.25" customHeight="1" s="314"/>
    <row r="153" ht="14.25" customHeight="1" s="314"/>
    <row r="154" ht="14.25" customHeight="1" s="314"/>
    <row r="155" ht="14.25" customHeight="1" s="314"/>
    <row r="156" ht="14.25" customHeight="1" s="314"/>
    <row r="157" ht="14.25" customHeight="1" s="314"/>
    <row r="158" ht="14.25" customHeight="1" s="314"/>
    <row r="159" ht="14.25" customHeight="1" s="314"/>
    <row r="160" ht="14.25" customHeight="1" s="314"/>
    <row r="161" ht="14.25" customHeight="1" s="314"/>
    <row r="162" ht="14.25" customHeight="1" s="314"/>
    <row r="163" ht="14.25" customHeight="1" s="314"/>
    <row r="164" ht="14.25" customHeight="1" s="314"/>
    <row r="165" ht="14.25" customHeight="1" s="314"/>
    <row r="166" ht="14.25" customHeight="1" s="314"/>
    <row r="167" ht="14.25" customHeight="1" s="314"/>
    <row r="168" ht="14.25" customHeight="1" s="314"/>
    <row r="169" ht="14.25" customHeight="1" s="314"/>
    <row r="170" ht="14.25" customHeight="1" s="314"/>
    <row r="171" ht="14.25" customHeight="1" s="314"/>
    <row r="172" ht="14.25" customHeight="1" s="314"/>
    <row r="173" ht="14.25" customHeight="1" s="314"/>
    <row r="174" ht="14.25" customHeight="1" s="314"/>
    <row r="175" ht="14.25" customHeight="1" s="314"/>
    <row r="176" ht="14.25" customHeight="1" s="314"/>
    <row r="177" ht="14.25" customHeight="1" s="314"/>
    <row r="178" ht="14.25" customHeight="1" s="314"/>
    <row r="179" ht="14.25" customHeight="1" s="314"/>
    <row r="180" ht="14.25" customHeight="1" s="314"/>
    <row r="181" ht="14.25" customHeight="1" s="314"/>
    <row r="182" ht="14.25" customHeight="1" s="314"/>
    <row r="183" ht="14.25" customHeight="1" s="314"/>
    <row r="184" ht="14.25" customHeight="1" s="314"/>
    <row r="185" ht="14.25" customHeight="1" s="314"/>
    <row r="186" ht="14.25" customHeight="1" s="314"/>
    <row r="187" ht="14.25" customHeight="1" s="314"/>
    <row r="188" ht="14.25" customHeight="1" s="314"/>
    <row r="189" ht="14.25" customHeight="1" s="314"/>
    <row r="190" ht="14.25" customHeight="1" s="314"/>
    <row r="191" ht="14.25" customHeight="1" s="314"/>
    <row r="192" ht="14.25" customHeight="1" s="314"/>
    <row r="193" ht="14.25" customHeight="1" s="314"/>
    <row r="194" ht="14.25" customHeight="1" s="314"/>
    <row r="195" ht="14.25" customHeight="1" s="314"/>
    <row r="196" ht="14.25" customHeight="1" s="314"/>
    <row r="197" ht="14.25" customHeight="1" s="314"/>
    <row r="198" ht="14.25" customHeight="1" s="314"/>
    <row r="199" ht="14.25" customHeight="1" s="314"/>
    <row r="200" ht="14.25" customHeight="1" s="314"/>
    <row r="201" ht="14.25" customHeight="1" s="314"/>
    <row r="202" ht="14.25" customHeight="1" s="314"/>
    <row r="203" ht="14.25" customHeight="1" s="314"/>
    <row r="204" ht="14.25" customHeight="1" s="314"/>
    <row r="205" ht="14.25" customHeight="1" s="314"/>
    <row r="206" ht="14.25" customHeight="1" s="314"/>
    <row r="207" ht="14.25" customHeight="1" s="314"/>
    <row r="208" ht="14.25" customHeight="1" s="314"/>
    <row r="209" ht="14.25" customHeight="1" s="314"/>
    <row r="210" ht="14.25" customHeight="1" s="314"/>
    <row r="211" ht="14.25" customHeight="1" s="314"/>
    <row r="212" ht="14.25" customHeight="1" s="314"/>
    <row r="213" ht="14.25" customHeight="1" s="314"/>
    <row r="214" ht="14.25" customHeight="1" s="314"/>
    <row r="215" ht="14.25" customHeight="1" s="314"/>
    <row r="216" ht="14.25" customHeight="1" s="314"/>
    <row r="217" ht="14.25" customHeight="1" s="314"/>
    <row r="218" ht="14.25" customHeight="1" s="314"/>
    <row r="219" ht="14.25" customHeight="1" s="314"/>
    <row r="220" ht="14.25" customHeight="1" s="314"/>
    <row r="221" ht="14.25" customHeight="1" s="314"/>
    <row r="222" ht="14.25" customHeight="1" s="314"/>
    <row r="223" ht="14.25" customHeight="1" s="314"/>
    <row r="224" ht="14.25" customHeight="1" s="314"/>
    <row r="225" ht="14.25" customHeight="1" s="314"/>
    <row r="226" ht="14.25" customHeight="1" s="314"/>
    <row r="227" ht="14.25" customHeight="1" s="314"/>
    <row r="228" ht="14.25" customHeight="1" s="314"/>
    <row r="229" ht="14.25" customHeight="1" s="314"/>
    <row r="230" ht="14.25" customHeight="1" s="314"/>
    <row r="231" ht="14.25" customHeight="1" s="314"/>
    <row r="232" ht="14.25" customHeight="1" s="314"/>
    <row r="233" ht="14.25" customHeight="1" s="314"/>
    <row r="234" ht="14.25" customHeight="1" s="314"/>
    <row r="235" ht="14.25" customHeight="1" s="314"/>
    <row r="236" ht="14.25" customHeight="1" s="314"/>
    <row r="237" ht="14.25" customHeight="1" s="314"/>
    <row r="238" ht="14.25" customHeight="1" s="314"/>
    <row r="239" ht="14.25" customHeight="1" s="314"/>
    <row r="240" ht="14.25" customHeight="1" s="314"/>
    <row r="241" ht="14.25" customHeight="1" s="314"/>
    <row r="242" ht="14.25" customHeight="1" s="314"/>
    <row r="243" ht="14.25" customHeight="1" s="314"/>
    <row r="244" ht="14.25" customHeight="1" s="314"/>
    <row r="245" ht="14.25" customHeight="1" s="314"/>
    <row r="246" ht="14.25" customHeight="1" s="314"/>
    <row r="247" ht="14.25" customHeight="1" s="314"/>
    <row r="248" ht="14.25" customHeight="1" s="314"/>
    <row r="249" ht="14.25" customHeight="1" s="314"/>
    <row r="250" ht="14.25" customHeight="1" s="314"/>
    <row r="251" ht="14.25" customHeight="1" s="314"/>
    <row r="252" ht="14.25" customHeight="1" s="314"/>
    <row r="253" ht="14.25" customHeight="1" s="314"/>
    <row r="254" ht="14.25" customHeight="1" s="314"/>
    <row r="255" ht="14.25" customHeight="1" s="314"/>
    <row r="256" ht="14.25" customHeight="1" s="314"/>
    <row r="257" ht="14.25" customHeight="1" s="314"/>
    <row r="258" ht="14.25" customHeight="1" s="314"/>
    <row r="259" ht="14.25" customHeight="1" s="314"/>
    <row r="260" ht="14.25" customHeight="1" s="314"/>
    <row r="261" ht="14.25" customHeight="1" s="314"/>
    <row r="262" ht="14.25" customHeight="1" s="314"/>
    <row r="263" ht="14.25" customHeight="1" s="314"/>
    <row r="264" ht="14.25" customHeight="1" s="314"/>
    <row r="265" ht="14.25" customHeight="1" s="314"/>
    <row r="266" ht="14.25" customHeight="1" s="314"/>
    <row r="267" ht="14.25" customHeight="1" s="314"/>
    <row r="268" ht="14.25" customHeight="1" s="314"/>
    <row r="269" ht="14.25" customHeight="1" s="314"/>
    <row r="270" ht="14.25" customHeight="1" s="314"/>
    <row r="271" ht="14.25" customHeight="1" s="314"/>
    <row r="272" ht="14.25" customHeight="1" s="314"/>
    <row r="273" ht="14.25" customHeight="1" s="314"/>
    <row r="274" ht="14.25" customHeight="1" s="314"/>
    <row r="275" ht="14.25" customHeight="1" s="314"/>
    <row r="276" ht="14.25" customHeight="1" s="314"/>
    <row r="277" ht="14.25" customHeight="1" s="314"/>
    <row r="278" ht="14.25" customHeight="1" s="314"/>
    <row r="279" ht="14.25" customHeight="1" s="314"/>
    <row r="280" ht="14.25" customHeight="1" s="314"/>
    <row r="281" ht="14.25" customHeight="1" s="314"/>
    <row r="282" ht="14.25" customHeight="1" s="314"/>
    <row r="283" ht="14.25" customHeight="1" s="314"/>
    <row r="284" ht="14.25" customHeight="1" s="314"/>
    <row r="285" ht="14.25" customHeight="1" s="314"/>
    <row r="286" ht="14.25" customHeight="1" s="314"/>
    <row r="287" ht="14.25" customHeight="1" s="314"/>
    <row r="288" ht="14.25" customHeight="1" s="314"/>
    <row r="289" ht="14.25" customHeight="1" s="314"/>
    <row r="290" ht="14.25" customHeight="1" s="314"/>
    <row r="291" ht="14.25" customHeight="1" s="314"/>
    <row r="292" ht="14.25" customHeight="1" s="314"/>
    <row r="293" ht="14.25" customHeight="1" s="314"/>
    <row r="294" ht="14.25" customHeight="1" s="314"/>
    <row r="295" ht="14.25" customHeight="1" s="314"/>
    <row r="296" ht="14.25" customHeight="1" s="314"/>
    <row r="297" ht="14.25" customHeight="1" s="314"/>
    <row r="298" ht="14.25" customHeight="1" s="314"/>
    <row r="299" ht="14.25" customHeight="1" s="314"/>
    <row r="300" ht="14.25" customHeight="1" s="314"/>
    <row r="301" ht="14.25" customHeight="1" s="314"/>
    <row r="302" ht="14.25" customHeight="1" s="314"/>
    <row r="303" ht="14.25" customHeight="1" s="314"/>
    <row r="304" ht="14.25" customHeight="1" s="314"/>
    <row r="305" ht="14.25" customHeight="1" s="314"/>
    <row r="306" ht="14.25" customHeight="1" s="314"/>
    <row r="307" ht="14.25" customHeight="1" s="314"/>
    <row r="308" ht="14.25" customHeight="1" s="314"/>
    <row r="309" ht="14.25" customHeight="1" s="314"/>
    <row r="310" ht="14.25" customHeight="1" s="314"/>
    <row r="311" ht="14.25" customHeight="1" s="314"/>
    <row r="312" ht="14.25" customHeight="1" s="314"/>
    <row r="313" ht="14.25" customHeight="1" s="314"/>
    <row r="314" ht="14.25" customHeight="1" s="314"/>
    <row r="315" ht="14.25" customHeight="1" s="314"/>
    <row r="316" ht="14.25" customHeight="1" s="314"/>
    <row r="317" ht="14.25" customHeight="1" s="314"/>
    <row r="318" ht="14.25" customHeight="1" s="314"/>
    <row r="319" ht="14.25" customHeight="1" s="314"/>
    <row r="320" ht="14.25" customHeight="1" s="314"/>
    <row r="321" ht="14.25" customHeight="1" s="314"/>
    <row r="322" ht="14.25" customHeight="1" s="314"/>
    <row r="323" ht="14.25" customHeight="1" s="314"/>
    <row r="324" ht="14.25" customHeight="1" s="314"/>
    <row r="325" ht="14.25" customHeight="1" s="314"/>
    <row r="326" ht="14.25" customHeight="1" s="314"/>
    <row r="327" ht="14.25" customHeight="1" s="314"/>
    <row r="328" ht="14.25" customHeight="1" s="314"/>
    <row r="329" ht="14.25" customHeight="1" s="314"/>
    <row r="330" ht="14.25" customHeight="1" s="314"/>
    <row r="331" ht="14.25" customHeight="1" s="314"/>
    <row r="332" ht="14.25" customHeight="1" s="314"/>
    <row r="333" ht="14.25" customHeight="1" s="314"/>
    <row r="334" ht="14.25" customHeight="1" s="314"/>
    <row r="335" ht="14.25" customHeight="1" s="314"/>
    <row r="336" ht="14.25" customHeight="1" s="314"/>
    <row r="337" ht="14.25" customHeight="1" s="314"/>
    <row r="338" ht="14.25" customHeight="1" s="314"/>
    <row r="339" ht="14.25" customHeight="1" s="314"/>
    <row r="340" ht="14.25" customHeight="1" s="314"/>
    <row r="341" ht="14.25" customHeight="1" s="314"/>
    <row r="342" ht="14.25" customHeight="1" s="314"/>
    <row r="343" ht="14.25" customHeight="1" s="314"/>
    <row r="344" ht="14.25" customHeight="1" s="314"/>
    <row r="345" ht="14.25" customHeight="1" s="314"/>
    <row r="346" ht="14.25" customHeight="1" s="314"/>
    <row r="347" ht="14.25" customHeight="1" s="314"/>
    <row r="348" ht="14.25" customHeight="1" s="314"/>
    <row r="349" ht="14.25" customHeight="1" s="314"/>
    <row r="350" ht="14.25" customHeight="1" s="314"/>
    <row r="351" ht="14.25" customHeight="1" s="314"/>
    <row r="352" ht="14.25" customHeight="1" s="314"/>
    <row r="353" ht="14.25" customHeight="1" s="314"/>
    <row r="354" ht="14.25" customHeight="1" s="314"/>
    <row r="355" ht="14.25" customHeight="1" s="314"/>
    <row r="356" ht="14.25" customHeight="1" s="314"/>
    <row r="357" ht="14.25" customHeight="1" s="314"/>
    <row r="358" ht="14.25" customHeight="1" s="314"/>
    <row r="359" ht="14.25" customHeight="1" s="314"/>
    <row r="360" ht="14.25" customHeight="1" s="314"/>
    <row r="361" ht="14.25" customHeight="1" s="314"/>
    <row r="362" ht="14.25" customHeight="1" s="314"/>
    <row r="363" ht="14.25" customHeight="1" s="314"/>
    <row r="364" ht="14.25" customHeight="1" s="314"/>
    <row r="365" ht="14.25" customHeight="1" s="314"/>
    <row r="366" ht="14.25" customHeight="1" s="314"/>
    <row r="367" ht="14.25" customHeight="1" s="314"/>
    <row r="368" ht="14.25" customHeight="1" s="314"/>
    <row r="369" ht="14.25" customHeight="1" s="314"/>
    <row r="370" ht="14.25" customHeight="1" s="314"/>
    <row r="371" ht="14.25" customHeight="1" s="314"/>
    <row r="372" ht="14.25" customHeight="1" s="314"/>
    <row r="373" ht="14.25" customHeight="1" s="314"/>
    <row r="374" ht="14.25" customHeight="1" s="314"/>
    <row r="375" ht="14.25" customHeight="1" s="314"/>
    <row r="376" ht="14.25" customHeight="1" s="314"/>
    <row r="377" ht="14.25" customHeight="1" s="314"/>
    <row r="378" ht="14.25" customHeight="1" s="314"/>
    <row r="379" ht="14.25" customHeight="1" s="314"/>
    <row r="380" ht="14.25" customHeight="1" s="314"/>
    <row r="381" ht="14.25" customHeight="1" s="314"/>
    <row r="382" ht="14.25" customHeight="1" s="314"/>
    <row r="383" ht="14.25" customHeight="1" s="314"/>
    <row r="384" ht="14.25" customHeight="1" s="314"/>
    <row r="385" ht="14.25" customHeight="1" s="314"/>
    <row r="386" ht="14.25" customHeight="1" s="314"/>
    <row r="387" ht="14.25" customHeight="1" s="314"/>
    <row r="388" ht="14.25" customHeight="1" s="314"/>
    <row r="389" ht="14.25" customHeight="1" s="314"/>
    <row r="390" ht="14.25" customHeight="1" s="314"/>
    <row r="391" ht="14.25" customHeight="1" s="314"/>
    <row r="392" ht="14.25" customHeight="1" s="314"/>
    <row r="393" ht="14.25" customHeight="1" s="314"/>
    <row r="394" ht="14.25" customHeight="1" s="314"/>
    <row r="395" ht="14.25" customHeight="1" s="314"/>
    <row r="396" ht="14.25" customHeight="1" s="314"/>
    <row r="397" ht="14.25" customHeight="1" s="314"/>
    <row r="398" ht="14.25" customHeight="1" s="314"/>
    <row r="399" ht="14.25" customHeight="1" s="314"/>
    <row r="400" ht="14.25" customHeight="1" s="314"/>
    <row r="401" ht="14.25" customHeight="1" s="314"/>
    <row r="402" ht="14.25" customHeight="1" s="314"/>
    <row r="403" ht="14.25" customHeight="1" s="314"/>
    <row r="404" ht="14.25" customHeight="1" s="314"/>
    <row r="405" ht="14.25" customHeight="1" s="314"/>
    <row r="406" ht="14.25" customHeight="1" s="314"/>
    <row r="407" ht="14.25" customHeight="1" s="314"/>
    <row r="408" ht="14.25" customHeight="1" s="314"/>
    <row r="409" ht="14.25" customHeight="1" s="314"/>
    <row r="410" ht="14.25" customHeight="1" s="314"/>
    <row r="411" ht="14.25" customHeight="1" s="314"/>
    <row r="412" ht="14.25" customHeight="1" s="314"/>
    <row r="413" ht="14.25" customHeight="1" s="314"/>
    <row r="414" ht="14.25" customHeight="1" s="314"/>
    <row r="415" ht="14.25" customHeight="1" s="314"/>
    <row r="416" ht="14.25" customHeight="1" s="314"/>
    <row r="417" ht="14.25" customHeight="1" s="314"/>
    <row r="418" ht="14.25" customHeight="1" s="314"/>
    <row r="419" ht="14.25" customHeight="1" s="314"/>
    <row r="420" ht="14.25" customHeight="1" s="314"/>
    <row r="421" ht="14.25" customHeight="1" s="314"/>
    <row r="422" ht="14.25" customHeight="1" s="314"/>
    <row r="423" ht="14.25" customHeight="1" s="314"/>
    <row r="424" ht="14.25" customHeight="1" s="314"/>
    <row r="425" ht="14.25" customHeight="1" s="314"/>
    <row r="426" ht="14.25" customHeight="1" s="314"/>
    <row r="427" ht="14.25" customHeight="1" s="314"/>
    <row r="428" ht="14.25" customHeight="1" s="314"/>
    <row r="429" ht="14.25" customHeight="1" s="314"/>
    <row r="430" ht="14.25" customHeight="1" s="314"/>
    <row r="431" ht="14.25" customHeight="1" s="314"/>
    <row r="432" ht="14.25" customHeight="1" s="314"/>
    <row r="433" ht="14.25" customHeight="1" s="314"/>
    <row r="434" ht="14.25" customHeight="1" s="314"/>
    <row r="435" ht="14.25" customHeight="1" s="314"/>
    <row r="436" ht="14.25" customHeight="1" s="314"/>
    <row r="437" ht="14.25" customHeight="1" s="314"/>
    <row r="438" ht="14.25" customHeight="1" s="314"/>
    <row r="439" ht="14.25" customHeight="1" s="314"/>
    <row r="440" ht="14.25" customHeight="1" s="314"/>
    <row r="441" ht="14.25" customHeight="1" s="314"/>
    <row r="442" ht="14.25" customHeight="1" s="314"/>
    <row r="443" ht="14.25" customHeight="1" s="314"/>
    <row r="444" ht="14.25" customHeight="1" s="314"/>
    <row r="445" ht="14.25" customHeight="1" s="314"/>
    <row r="446" ht="14.25" customHeight="1" s="314"/>
    <row r="447" ht="14.25" customHeight="1" s="314"/>
    <row r="448" ht="14.25" customHeight="1" s="314"/>
    <row r="449" ht="14.25" customHeight="1" s="314"/>
    <row r="450" ht="14.25" customHeight="1" s="314"/>
    <row r="451" ht="14.25" customHeight="1" s="314"/>
    <row r="452" ht="14.25" customHeight="1" s="314"/>
    <row r="453" ht="14.25" customHeight="1" s="314"/>
    <row r="454" ht="14.25" customHeight="1" s="314"/>
    <row r="455" ht="14.25" customHeight="1" s="314"/>
    <row r="456" ht="14.25" customHeight="1" s="314"/>
    <row r="457" ht="14.25" customHeight="1" s="314"/>
    <row r="458" ht="14.25" customHeight="1" s="314"/>
    <row r="459" ht="14.25" customHeight="1" s="314"/>
    <row r="460" ht="14.25" customHeight="1" s="314"/>
    <row r="461" ht="14.25" customHeight="1" s="314"/>
    <row r="462" ht="14.25" customHeight="1" s="314"/>
    <row r="463" ht="14.25" customHeight="1" s="314"/>
    <row r="464" ht="14.25" customHeight="1" s="314"/>
    <row r="465" ht="14.25" customHeight="1" s="314"/>
    <row r="466" ht="14.25" customHeight="1" s="314"/>
    <row r="467" ht="14.25" customHeight="1" s="314"/>
    <row r="468" ht="14.25" customHeight="1" s="314"/>
    <row r="469" ht="14.25" customHeight="1" s="314"/>
    <row r="470" ht="14.25" customHeight="1" s="314"/>
    <row r="471" ht="14.25" customHeight="1" s="314"/>
    <row r="472" ht="14.25" customHeight="1" s="314"/>
    <row r="473" ht="14.25" customHeight="1" s="314"/>
    <row r="474" ht="14.25" customHeight="1" s="314"/>
    <row r="475" ht="14.25" customHeight="1" s="314"/>
    <row r="476" ht="14.25" customHeight="1" s="314"/>
    <row r="477" ht="14.25" customHeight="1" s="314"/>
    <row r="478" ht="14.25" customHeight="1" s="314"/>
    <row r="479" ht="14.25" customHeight="1" s="314"/>
    <row r="480" ht="14.25" customHeight="1" s="314"/>
    <row r="481" ht="14.25" customHeight="1" s="314"/>
    <row r="482" ht="14.25" customHeight="1" s="314"/>
    <row r="483" ht="14.25" customHeight="1" s="314"/>
    <row r="484" ht="14.25" customHeight="1" s="314"/>
    <row r="485" ht="14.25" customHeight="1" s="314"/>
    <row r="486" ht="14.25" customHeight="1" s="314"/>
    <row r="487" ht="14.25" customHeight="1" s="314"/>
    <row r="488" ht="14.25" customHeight="1" s="314"/>
    <row r="489" ht="14.25" customHeight="1" s="314"/>
    <row r="490" ht="14.25" customHeight="1" s="314"/>
    <row r="491" ht="14.25" customHeight="1" s="314"/>
    <row r="492" ht="14.25" customHeight="1" s="314"/>
    <row r="493" ht="14.25" customHeight="1" s="314"/>
    <row r="494" ht="14.25" customHeight="1" s="314"/>
    <row r="495" ht="14.25" customHeight="1" s="314"/>
    <row r="496" ht="14.25" customHeight="1" s="314"/>
    <row r="497" ht="14.25" customHeight="1" s="314"/>
    <row r="498" ht="14.25" customHeight="1" s="314"/>
    <row r="499" ht="14.25" customHeight="1" s="314"/>
    <row r="500" ht="14.25" customHeight="1" s="314"/>
    <row r="501" ht="14.25" customHeight="1" s="314"/>
    <row r="502" ht="14.25" customHeight="1" s="314"/>
    <row r="503" ht="14.25" customHeight="1" s="314"/>
    <row r="504" ht="14.25" customHeight="1" s="314"/>
    <row r="505" ht="14.25" customHeight="1" s="314"/>
    <row r="506" ht="14.25" customHeight="1" s="314"/>
    <row r="507" ht="14.25" customHeight="1" s="314"/>
    <row r="508" ht="14.25" customHeight="1" s="314"/>
    <row r="509" ht="14.25" customHeight="1" s="314"/>
    <row r="510" ht="14.25" customHeight="1" s="314"/>
    <row r="511" ht="14.25" customHeight="1" s="314"/>
    <row r="512" ht="14.25" customHeight="1" s="314"/>
    <row r="513" ht="14.25" customHeight="1" s="314"/>
    <row r="514" ht="14.25" customHeight="1" s="314"/>
    <row r="515" ht="14.25" customHeight="1" s="314"/>
    <row r="516" ht="14.25" customHeight="1" s="314"/>
    <row r="517" ht="14.25" customHeight="1" s="314"/>
    <row r="518" ht="14.25" customHeight="1" s="314"/>
    <row r="519" ht="14.25" customHeight="1" s="314"/>
    <row r="520" ht="14.25" customHeight="1" s="314"/>
    <row r="521" ht="14.25" customHeight="1" s="314"/>
    <row r="522" ht="14.25" customHeight="1" s="314"/>
    <row r="523" ht="14.25" customHeight="1" s="314"/>
    <row r="524" ht="14.25" customHeight="1" s="314"/>
    <row r="525" ht="14.25" customHeight="1" s="314"/>
    <row r="526" ht="14.25" customHeight="1" s="314"/>
    <row r="527" ht="14.25" customHeight="1" s="314"/>
    <row r="528" ht="14.25" customHeight="1" s="314"/>
    <row r="529" ht="14.25" customHeight="1" s="314"/>
    <row r="530" ht="14.25" customHeight="1" s="314"/>
    <row r="531" ht="14.25" customHeight="1" s="314"/>
    <row r="532" ht="14.25" customHeight="1" s="314"/>
    <row r="533" ht="14.25" customHeight="1" s="314"/>
    <row r="534" ht="14.25" customHeight="1" s="314"/>
    <row r="535" ht="14.25" customHeight="1" s="314"/>
    <row r="536" ht="14.25" customHeight="1" s="314"/>
    <row r="537" ht="14.25" customHeight="1" s="314"/>
    <row r="538" ht="14.25" customHeight="1" s="314"/>
    <row r="539" ht="14.25" customHeight="1" s="314"/>
    <row r="540" ht="14.25" customHeight="1" s="314"/>
    <row r="541" ht="14.25" customHeight="1" s="314"/>
    <row r="542" ht="14.25" customHeight="1" s="314"/>
    <row r="543" ht="14.25" customHeight="1" s="314"/>
    <row r="544" ht="14.25" customHeight="1" s="314"/>
    <row r="545" ht="14.25" customHeight="1" s="314"/>
    <row r="546" ht="14.25" customHeight="1" s="314"/>
    <row r="547" ht="14.25" customHeight="1" s="314"/>
    <row r="548" ht="14.25" customHeight="1" s="314"/>
    <row r="549" ht="14.25" customHeight="1" s="314"/>
    <row r="550" ht="14.25" customHeight="1" s="314"/>
    <row r="551" ht="14.25" customHeight="1" s="314"/>
    <row r="552" ht="14.25" customHeight="1" s="314"/>
    <row r="553" ht="14.25" customHeight="1" s="314"/>
    <row r="554" ht="14.25" customHeight="1" s="314"/>
    <row r="555" ht="14.25" customHeight="1" s="314"/>
    <row r="556" ht="14.25" customHeight="1" s="314"/>
    <row r="557" ht="14.25" customHeight="1" s="314"/>
    <row r="558" ht="14.25" customHeight="1" s="314"/>
    <row r="559" ht="14.25" customHeight="1" s="314"/>
    <row r="560" ht="14.25" customHeight="1" s="314"/>
    <row r="561" ht="14.25" customHeight="1" s="314"/>
    <row r="562" ht="14.25" customHeight="1" s="314"/>
    <row r="563" ht="14.25" customHeight="1" s="314"/>
    <row r="564" ht="14.25" customHeight="1" s="314"/>
    <row r="565" ht="14.25" customHeight="1" s="314"/>
    <row r="566" ht="14.25" customHeight="1" s="314"/>
    <row r="567" ht="14.25" customHeight="1" s="314"/>
    <row r="568" ht="14.25" customHeight="1" s="314"/>
    <row r="569" ht="14.25" customHeight="1" s="314"/>
    <row r="570" ht="14.25" customHeight="1" s="314"/>
    <row r="571" ht="14.25" customHeight="1" s="314"/>
    <row r="572" ht="14.25" customHeight="1" s="314"/>
    <row r="573" ht="14.25" customHeight="1" s="314"/>
    <row r="574" ht="14.25" customHeight="1" s="314"/>
    <row r="575" ht="14.25" customHeight="1" s="314"/>
    <row r="576" ht="14.25" customHeight="1" s="314"/>
    <row r="577" ht="14.25" customHeight="1" s="314"/>
    <row r="578" ht="14.25" customHeight="1" s="314"/>
    <row r="579" ht="14.25" customHeight="1" s="314"/>
    <row r="580" ht="14.25" customHeight="1" s="314"/>
    <row r="581" ht="14.25" customHeight="1" s="314"/>
    <row r="582" ht="14.25" customHeight="1" s="314"/>
    <row r="583" ht="14.25" customHeight="1" s="314"/>
    <row r="584" ht="14.25" customHeight="1" s="314"/>
    <row r="585" ht="14.25" customHeight="1" s="314"/>
    <row r="586" ht="14.25" customHeight="1" s="314"/>
    <row r="587" ht="14.25" customHeight="1" s="314"/>
    <row r="588" ht="14.25" customHeight="1" s="314"/>
    <row r="589" ht="14.25" customHeight="1" s="314"/>
    <row r="590" ht="14.25" customHeight="1" s="314"/>
    <row r="591" ht="14.25" customHeight="1" s="314"/>
    <row r="592" ht="14.25" customHeight="1" s="314"/>
    <row r="593" ht="14.25" customHeight="1" s="314"/>
    <row r="594" ht="14.25" customHeight="1" s="314"/>
    <row r="595" ht="14.25" customHeight="1" s="314"/>
    <row r="596" ht="14.25" customHeight="1" s="314"/>
    <row r="597" ht="14.25" customHeight="1" s="314"/>
    <row r="598" ht="14.25" customHeight="1" s="314"/>
    <row r="599" ht="14.25" customHeight="1" s="314"/>
    <row r="600" ht="14.25" customHeight="1" s="314"/>
    <row r="601" ht="14.25" customHeight="1" s="314"/>
    <row r="602" ht="14.25" customHeight="1" s="314"/>
    <row r="603" ht="14.25" customHeight="1" s="314"/>
    <row r="604" ht="14.25" customHeight="1" s="314"/>
    <row r="605" ht="14.25" customHeight="1" s="314"/>
    <row r="606" ht="14.25" customHeight="1" s="314"/>
    <row r="607" ht="14.25" customHeight="1" s="314"/>
    <row r="608" ht="14.25" customHeight="1" s="314"/>
    <row r="609" ht="14.25" customHeight="1" s="314"/>
    <row r="610" ht="14.25" customHeight="1" s="314"/>
    <row r="611" ht="14.25" customHeight="1" s="314"/>
    <row r="612" ht="14.25" customHeight="1" s="314"/>
    <row r="613" ht="14.25" customHeight="1" s="314"/>
    <row r="614" ht="14.25" customHeight="1" s="314"/>
    <row r="615" ht="14.25" customHeight="1" s="314"/>
    <row r="616" ht="14.25" customHeight="1" s="314"/>
    <row r="617" ht="14.25" customHeight="1" s="314"/>
    <row r="618" ht="14.25" customHeight="1" s="314"/>
    <row r="619" ht="14.25" customHeight="1" s="314"/>
    <row r="620" ht="14.25" customHeight="1" s="314"/>
    <row r="621" ht="14.25" customHeight="1" s="314"/>
    <row r="622" ht="14.25" customHeight="1" s="314"/>
    <row r="623" ht="14.25" customHeight="1" s="314"/>
    <row r="624" ht="14.25" customHeight="1" s="314"/>
    <row r="625" ht="14.25" customHeight="1" s="314"/>
    <row r="626" ht="14.25" customHeight="1" s="314"/>
    <row r="627" ht="14.25" customHeight="1" s="314"/>
    <row r="628" ht="14.25" customHeight="1" s="314"/>
    <row r="629" ht="14.25" customHeight="1" s="314"/>
    <row r="630" ht="14.25" customHeight="1" s="314"/>
    <row r="631" ht="14.25" customHeight="1" s="314"/>
    <row r="632" ht="14.25" customHeight="1" s="314"/>
    <row r="633" ht="14.25" customHeight="1" s="314"/>
    <row r="634" ht="14.25" customHeight="1" s="314"/>
    <row r="635" ht="14.25" customHeight="1" s="314"/>
    <row r="636" ht="14.25" customHeight="1" s="314"/>
    <row r="637" ht="14.25" customHeight="1" s="314"/>
    <row r="638" ht="14.25" customHeight="1" s="314"/>
    <row r="639" ht="14.25" customHeight="1" s="314"/>
    <row r="640" ht="14.25" customHeight="1" s="314"/>
    <row r="641" ht="14.25" customHeight="1" s="314"/>
    <row r="642" ht="14.25" customHeight="1" s="314"/>
    <row r="643" ht="14.25" customHeight="1" s="314"/>
    <row r="644" ht="14.25" customHeight="1" s="314"/>
    <row r="645" ht="14.25" customHeight="1" s="314"/>
    <row r="646" ht="14.25" customHeight="1" s="314"/>
    <row r="647" ht="14.25" customHeight="1" s="314"/>
    <row r="648" ht="14.25" customHeight="1" s="314"/>
    <row r="649" ht="14.25" customHeight="1" s="314"/>
    <row r="650" ht="14.25" customHeight="1" s="314"/>
    <row r="651" ht="14.25" customHeight="1" s="314"/>
    <row r="652" ht="14.25" customHeight="1" s="314"/>
    <row r="653" ht="14.25" customHeight="1" s="314"/>
    <row r="654" ht="14.25" customHeight="1" s="314"/>
    <row r="655" ht="14.25" customHeight="1" s="314"/>
    <row r="656" ht="14.25" customHeight="1" s="314"/>
    <row r="657" ht="14.25" customHeight="1" s="314"/>
    <row r="658" ht="14.25" customHeight="1" s="314"/>
    <row r="659" ht="14.25" customHeight="1" s="314"/>
    <row r="660" ht="14.25" customHeight="1" s="314"/>
    <row r="661" ht="14.25" customHeight="1" s="314"/>
    <row r="662" ht="14.25" customHeight="1" s="314"/>
    <row r="663" ht="14.25" customHeight="1" s="314"/>
    <row r="664" ht="14.25" customHeight="1" s="314"/>
    <row r="665" ht="14.25" customHeight="1" s="314"/>
    <row r="666" ht="14.25" customHeight="1" s="314"/>
    <row r="667" ht="14.25" customHeight="1" s="314"/>
    <row r="668" ht="14.25" customHeight="1" s="314"/>
    <row r="669" ht="14.25" customHeight="1" s="314"/>
    <row r="670" ht="14.25" customHeight="1" s="314"/>
    <row r="671" ht="14.25" customHeight="1" s="314"/>
    <row r="672" ht="14.25" customHeight="1" s="314"/>
    <row r="673" ht="14.25" customHeight="1" s="314"/>
    <row r="674" ht="14.25" customHeight="1" s="314"/>
    <row r="675" ht="14.25" customHeight="1" s="314"/>
    <row r="676" ht="14.25" customHeight="1" s="314"/>
    <row r="677" ht="14.25" customHeight="1" s="314"/>
    <row r="678" ht="14.25" customHeight="1" s="314"/>
    <row r="679" ht="14.25" customHeight="1" s="314"/>
    <row r="680" ht="14.25" customHeight="1" s="314"/>
    <row r="681" ht="14.25" customHeight="1" s="314"/>
    <row r="682" ht="14.25" customHeight="1" s="314"/>
    <row r="683" ht="14.25" customHeight="1" s="314"/>
    <row r="684" ht="14.25" customHeight="1" s="314"/>
    <row r="685" ht="14.25" customHeight="1" s="314"/>
    <row r="686" ht="14.25" customHeight="1" s="314"/>
    <row r="687" ht="14.25" customHeight="1" s="314"/>
    <row r="688" ht="14.25" customHeight="1" s="314"/>
    <row r="689" ht="14.25" customHeight="1" s="314"/>
    <row r="690" ht="14.25" customHeight="1" s="314"/>
    <row r="691" ht="14.25" customHeight="1" s="314"/>
    <row r="692" ht="14.25" customHeight="1" s="314"/>
    <row r="693" ht="14.25" customHeight="1" s="314"/>
    <row r="694" ht="14.25" customHeight="1" s="314"/>
    <row r="695" ht="14.25" customHeight="1" s="314"/>
    <row r="696" ht="14.25" customHeight="1" s="314"/>
    <row r="697" ht="14.25" customHeight="1" s="314"/>
    <row r="698" ht="14.25" customHeight="1" s="314"/>
    <row r="699" ht="14.25" customHeight="1" s="314"/>
    <row r="700" ht="14.25" customHeight="1" s="314"/>
    <row r="701" ht="14.25" customHeight="1" s="314"/>
    <row r="702" ht="14.25" customHeight="1" s="314"/>
    <row r="703" ht="14.25" customHeight="1" s="314"/>
    <row r="704" ht="14.25" customHeight="1" s="314"/>
    <row r="705" ht="14.25" customHeight="1" s="314"/>
    <row r="706" ht="14.25" customHeight="1" s="314"/>
    <row r="707" ht="14.25" customHeight="1" s="314"/>
    <row r="708" ht="14.25" customHeight="1" s="314"/>
    <row r="709" ht="14.25" customHeight="1" s="314"/>
    <row r="710" ht="14.25" customHeight="1" s="314"/>
    <row r="711" ht="14.25" customHeight="1" s="314"/>
    <row r="712" ht="14.25" customHeight="1" s="314"/>
    <row r="713" ht="14.25" customHeight="1" s="314"/>
    <row r="714" ht="14.25" customHeight="1" s="314"/>
    <row r="715" ht="14.25" customHeight="1" s="314"/>
    <row r="716" ht="14.25" customHeight="1" s="314"/>
    <row r="717" ht="14.25" customHeight="1" s="314"/>
    <row r="718" ht="14.25" customHeight="1" s="314"/>
    <row r="719" ht="14.25" customHeight="1" s="314"/>
    <row r="720" ht="14.25" customHeight="1" s="314"/>
    <row r="721" ht="14.25" customHeight="1" s="314"/>
    <row r="722" ht="14.25" customHeight="1" s="314"/>
    <row r="723" ht="14.25" customHeight="1" s="314"/>
    <row r="724" ht="14.25" customHeight="1" s="314"/>
    <row r="725" ht="14.25" customHeight="1" s="314"/>
    <row r="726" ht="14.25" customHeight="1" s="314"/>
    <row r="727" ht="14.25" customHeight="1" s="314"/>
    <row r="728" ht="14.25" customHeight="1" s="314"/>
    <row r="729" ht="14.25" customHeight="1" s="314"/>
    <row r="730" ht="14.25" customHeight="1" s="314"/>
    <row r="731" ht="14.25" customHeight="1" s="314"/>
    <row r="732" ht="14.25" customHeight="1" s="314"/>
    <row r="733" ht="14.25" customHeight="1" s="314"/>
    <row r="734" ht="14.25" customHeight="1" s="314"/>
    <row r="735" ht="14.25" customHeight="1" s="314"/>
    <row r="736" ht="14.25" customHeight="1" s="314"/>
    <row r="737" ht="14.25" customHeight="1" s="314"/>
    <row r="738" ht="14.25" customHeight="1" s="314"/>
    <row r="739" ht="14.25" customHeight="1" s="314"/>
    <row r="740" ht="14.25" customHeight="1" s="314"/>
    <row r="741" ht="14.25" customHeight="1" s="314"/>
    <row r="742" ht="14.25" customHeight="1" s="314"/>
    <row r="743" ht="14.25" customHeight="1" s="314"/>
    <row r="744" ht="14.25" customHeight="1" s="314"/>
    <row r="745" ht="14.25" customHeight="1" s="314"/>
    <row r="746" ht="14.25" customHeight="1" s="314"/>
    <row r="747" ht="14.25" customHeight="1" s="314"/>
    <row r="748" ht="14.25" customHeight="1" s="314"/>
    <row r="749" ht="14.25" customHeight="1" s="314"/>
    <row r="750" ht="14.25" customHeight="1" s="314"/>
    <row r="751" ht="14.25" customHeight="1" s="314"/>
    <row r="752" ht="14.25" customHeight="1" s="314"/>
    <row r="753" ht="14.25" customHeight="1" s="314"/>
    <row r="754" ht="14.25" customHeight="1" s="314"/>
    <row r="755" ht="14.25" customHeight="1" s="314"/>
    <row r="756" ht="14.25" customHeight="1" s="314"/>
    <row r="757" ht="14.25" customHeight="1" s="314"/>
    <row r="758" ht="14.25" customHeight="1" s="314"/>
    <row r="759" ht="14.25" customHeight="1" s="314"/>
    <row r="760" ht="14.25" customHeight="1" s="314"/>
    <row r="761" ht="14.25" customHeight="1" s="314"/>
    <row r="762" ht="14.25" customHeight="1" s="314"/>
    <row r="763" ht="14.25" customHeight="1" s="314"/>
    <row r="764" ht="14.25" customHeight="1" s="314"/>
    <row r="765" ht="14.25" customHeight="1" s="314"/>
    <row r="766" ht="14.25" customHeight="1" s="314"/>
    <row r="767" ht="14.25" customHeight="1" s="314"/>
    <row r="768" ht="14.25" customHeight="1" s="314"/>
    <row r="769" ht="14.25" customHeight="1" s="314"/>
    <row r="770" ht="14.25" customHeight="1" s="314"/>
    <row r="771" ht="14.25" customHeight="1" s="314"/>
    <row r="772" ht="14.25" customHeight="1" s="314"/>
    <row r="773" ht="14.25" customHeight="1" s="314"/>
    <row r="774" ht="14.25" customHeight="1" s="314"/>
    <row r="775" ht="14.25" customHeight="1" s="314"/>
    <row r="776" ht="14.25" customHeight="1" s="314"/>
    <row r="777" ht="14.25" customHeight="1" s="314"/>
    <row r="778" ht="14.25" customHeight="1" s="314"/>
    <row r="779" ht="14.25" customHeight="1" s="314"/>
    <row r="780" ht="14.25" customHeight="1" s="314"/>
    <row r="781" ht="14.25" customHeight="1" s="314"/>
    <row r="782" ht="14.25" customHeight="1" s="314"/>
    <row r="783" ht="14.25" customHeight="1" s="314"/>
    <row r="784" ht="14.25" customHeight="1" s="314"/>
    <row r="785" ht="14.25" customHeight="1" s="314"/>
    <row r="786" ht="14.25" customHeight="1" s="314"/>
    <row r="787" ht="14.25" customHeight="1" s="314"/>
    <row r="788" ht="14.25" customHeight="1" s="314"/>
    <row r="789" ht="14.25" customHeight="1" s="314"/>
    <row r="790" ht="14.25" customHeight="1" s="314"/>
    <row r="791" ht="14.25" customHeight="1" s="314"/>
    <row r="792" ht="14.25" customHeight="1" s="314"/>
    <row r="793" ht="14.25" customHeight="1" s="314"/>
    <row r="794" ht="14.25" customHeight="1" s="314"/>
    <row r="795" ht="14.25" customHeight="1" s="314"/>
    <row r="796" ht="14.25" customHeight="1" s="314"/>
    <row r="797" ht="14.25" customHeight="1" s="314"/>
    <row r="798" ht="14.25" customHeight="1" s="314"/>
    <row r="799" ht="14.25" customHeight="1" s="314"/>
    <row r="800" ht="14.25" customHeight="1" s="314"/>
    <row r="801" ht="14.25" customHeight="1" s="314"/>
    <row r="802" ht="14.25" customHeight="1" s="314"/>
    <row r="803" ht="14.25" customHeight="1" s="314"/>
    <row r="804" ht="14.25" customHeight="1" s="314"/>
    <row r="805" ht="14.25" customHeight="1" s="314"/>
    <row r="806" ht="14.25" customHeight="1" s="314"/>
    <row r="807" ht="14.25" customHeight="1" s="314"/>
    <row r="808" ht="14.25" customHeight="1" s="314"/>
    <row r="809" ht="14.25" customHeight="1" s="314"/>
    <row r="810" ht="14.25" customHeight="1" s="314"/>
    <row r="811" ht="14.25" customHeight="1" s="314"/>
    <row r="812" ht="14.25" customHeight="1" s="314"/>
    <row r="813" ht="14.25" customHeight="1" s="314"/>
    <row r="814" ht="14.25" customHeight="1" s="314"/>
    <row r="815" ht="14.25" customHeight="1" s="314"/>
    <row r="816" ht="14.25" customHeight="1" s="314"/>
    <row r="817" ht="14.25" customHeight="1" s="314"/>
    <row r="818" ht="14.25" customHeight="1" s="314"/>
    <row r="819" ht="14.25" customHeight="1" s="314"/>
    <row r="820" ht="14.25" customHeight="1" s="314"/>
    <row r="821" ht="14.25" customHeight="1" s="314"/>
    <row r="822" ht="14.25" customHeight="1" s="314"/>
    <row r="823" ht="14.25" customHeight="1" s="314"/>
    <row r="824" ht="14.25" customHeight="1" s="314"/>
    <row r="825" ht="14.25" customHeight="1" s="314"/>
    <row r="826" ht="14.25" customHeight="1" s="314"/>
    <row r="827" ht="14.25" customHeight="1" s="314"/>
    <row r="828" ht="14.25" customHeight="1" s="314"/>
    <row r="829" ht="14.25" customHeight="1" s="314"/>
    <row r="830" ht="14.25" customHeight="1" s="314"/>
    <row r="831" ht="14.25" customHeight="1" s="314"/>
    <row r="832" ht="14.25" customHeight="1" s="314"/>
    <row r="833" ht="14.25" customHeight="1" s="314"/>
    <row r="834" ht="14.25" customHeight="1" s="314"/>
    <row r="835" ht="14.25" customHeight="1" s="314"/>
    <row r="836" ht="14.25" customHeight="1" s="314"/>
    <row r="837" ht="14.25" customHeight="1" s="314"/>
    <row r="838" ht="14.25" customHeight="1" s="314"/>
    <row r="839" ht="14.25" customHeight="1" s="314"/>
    <row r="840" ht="14.25" customHeight="1" s="314"/>
    <row r="841" ht="14.25" customHeight="1" s="314"/>
    <row r="842" ht="14.25" customHeight="1" s="314"/>
    <row r="843" ht="14.25" customHeight="1" s="314"/>
    <row r="844" ht="14.25" customHeight="1" s="314"/>
    <row r="845" ht="14.25" customHeight="1" s="314"/>
    <row r="846" ht="14.25" customHeight="1" s="314"/>
    <row r="847" ht="14.25" customHeight="1" s="314"/>
    <row r="848" ht="14.25" customHeight="1" s="314"/>
    <row r="849" ht="14.25" customHeight="1" s="314"/>
    <row r="850" ht="14.25" customHeight="1" s="314"/>
    <row r="851" ht="14.25" customHeight="1" s="314"/>
    <row r="852" ht="14.25" customHeight="1" s="314"/>
    <row r="853" ht="14.25" customHeight="1" s="314"/>
    <row r="854" ht="14.25" customHeight="1" s="314"/>
    <row r="855" ht="14.25" customHeight="1" s="314"/>
    <row r="856" ht="14.25" customHeight="1" s="314"/>
    <row r="857" ht="14.25" customHeight="1" s="314"/>
    <row r="858" ht="14.25" customHeight="1" s="314"/>
    <row r="859" ht="14.25" customHeight="1" s="314"/>
    <row r="860" ht="14.25" customHeight="1" s="314"/>
    <row r="861" ht="14.25" customHeight="1" s="314"/>
    <row r="862" ht="14.25" customHeight="1" s="314"/>
    <row r="863" ht="14.25" customHeight="1" s="314"/>
    <row r="864" ht="14.25" customHeight="1" s="314"/>
    <row r="865" ht="14.25" customHeight="1" s="314"/>
    <row r="866" ht="14.25" customHeight="1" s="314"/>
    <row r="867" ht="14.25" customHeight="1" s="314"/>
    <row r="868" ht="14.25" customHeight="1" s="314"/>
    <row r="869" ht="14.25" customHeight="1" s="314"/>
    <row r="870" ht="14.25" customHeight="1" s="314"/>
    <row r="871" ht="14.25" customHeight="1" s="314"/>
    <row r="872" ht="14.25" customHeight="1" s="314"/>
    <row r="873" ht="14.25" customHeight="1" s="314"/>
    <row r="874" ht="14.25" customHeight="1" s="314"/>
    <row r="875" ht="14.25" customHeight="1" s="314"/>
    <row r="876" ht="14.25" customHeight="1" s="314"/>
    <row r="877" ht="14.25" customHeight="1" s="314"/>
    <row r="878" ht="14.25" customHeight="1" s="314"/>
    <row r="879" ht="14.25" customHeight="1" s="314"/>
    <row r="880" ht="14.25" customHeight="1" s="314"/>
    <row r="881" ht="14.25" customHeight="1" s="314"/>
    <row r="882" ht="14.25" customHeight="1" s="314"/>
    <row r="883" ht="14.25" customHeight="1" s="314"/>
    <row r="884" ht="14.25" customHeight="1" s="314"/>
    <row r="885" ht="14.25" customHeight="1" s="314"/>
    <row r="886" ht="14.25" customHeight="1" s="314"/>
    <row r="887" ht="14.25" customHeight="1" s="314"/>
    <row r="888" ht="14.25" customHeight="1" s="314"/>
    <row r="889" ht="14.25" customHeight="1" s="314"/>
    <row r="890" ht="14.25" customHeight="1" s="314"/>
    <row r="891" ht="14.25" customHeight="1" s="314"/>
    <row r="892" ht="14.25" customHeight="1" s="314"/>
    <row r="893" ht="14.25" customHeight="1" s="314"/>
    <row r="894" ht="14.25" customHeight="1" s="314"/>
    <row r="895" ht="14.25" customHeight="1" s="314"/>
    <row r="896" ht="14.25" customHeight="1" s="314"/>
    <row r="897" ht="14.25" customHeight="1" s="314"/>
    <row r="898" ht="14.25" customHeight="1" s="314"/>
    <row r="899" ht="14.25" customHeight="1" s="314"/>
    <row r="900" ht="14.25" customHeight="1" s="314"/>
    <row r="901" ht="14.25" customHeight="1" s="314"/>
    <row r="902" ht="14.25" customHeight="1" s="314"/>
    <row r="903" ht="14.25" customHeight="1" s="314"/>
    <row r="904" ht="14.25" customHeight="1" s="314"/>
    <row r="905" ht="14.25" customHeight="1" s="314"/>
    <row r="906" ht="14.25" customHeight="1" s="314"/>
    <row r="907" ht="14.25" customHeight="1" s="314"/>
    <row r="908" ht="14.25" customHeight="1" s="314"/>
    <row r="909" ht="14.25" customHeight="1" s="314"/>
    <row r="910" ht="14.25" customHeight="1" s="314"/>
    <row r="911" ht="14.25" customHeight="1" s="314"/>
    <row r="912" ht="14.25" customHeight="1" s="314"/>
    <row r="913" ht="14.25" customHeight="1" s="314"/>
    <row r="914" ht="14.25" customHeight="1" s="314"/>
    <row r="915" ht="14.25" customHeight="1" s="314"/>
    <row r="916" ht="14.25" customHeight="1" s="314"/>
    <row r="917" ht="14.25" customHeight="1" s="314"/>
    <row r="918" ht="14.25" customHeight="1" s="314"/>
    <row r="919" ht="14.25" customHeight="1" s="314"/>
    <row r="920" ht="14.25" customHeight="1" s="314"/>
    <row r="921" ht="14.25" customHeight="1" s="314"/>
    <row r="922" ht="14.25" customHeight="1" s="314"/>
    <row r="923" ht="14.25" customHeight="1" s="314"/>
    <row r="924" ht="14.25" customHeight="1" s="314"/>
    <row r="925" ht="14.25" customHeight="1" s="314"/>
    <row r="926" ht="14.25" customHeight="1" s="314"/>
    <row r="927" ht="14.25" customHeight="1" s="314"/>
    <row r="928" ht="14.25" customHeight="1" s="314"/>
    <row r="929" ht="14.25" customHeight="1" s="314"/>
    <row r="930" ht="14.25" customHeight="1" s="314"/>
    <row r="931" ht="14.25" customHeight="1" s="314"/>
    <row r="932" ht="14.25" customHeight="1" s="314"/>
    <row r="933" ht="14.25" customHeight="1" s="314"/>
    <row r="934" ht="14.25" customHeight="1" s="314"/>
    <row r="935" ht="14.25" customHeight="1" s="314"/>
    <row r="936" ht="14.25" customHeight="1" s="314"/>
    <row r="937" ht="14.25" customHeight="1" s="314"/>
    <row r="938" ht="14.25" customHeight="1" s="314"/>
    <row r="939" ht="14.25" customHeight="1" s="314"/>
    <row r="940" ht="14.25" customHeight="1" s="314"/>
    <row r="941" ht="14.25" customHeight="1" s="314"/>
    <row r="942" ht="14.25" customHeight="1" s="314"/>
    <row r="943" ht="14.25" customHeight="1" s="314"/>
    <row r="944" ht="14.25" customHeight="1" s="314"/>
    <row r="945" ht="14.25" customHeight="1" s="314"/>
    <row r="946" ht="14.25" customHeight="1" s="314"/>
    <row r="947" ht="14.25" customHeight="1" s="314"/>
    <row r="948" ht="14.25" customHeight="1" s="314"/>
    <row r="949" ht="14.25" customHeight="1" s="314"/>
    <row r="950" ht="14.25" customHeight="1" s="314"/>
    <row r="951" ht="14.25" customHeight="1" s="314"/>
    <row r="952" ht="14.25" customHeight="1" s="314"/>
    <row r="953" ht="14.25" customHeight="1" s="314"/>
    <row r="954" ht="14.25" customHeight="1" s="314"/>
    <row r="955" ht="14.25" customHeight="1" s="314"/>
    <row r="956" ht="14.25" customHeight="1" s="314"/>
    <row r="957" ht="14.25" customHeight="1" s="314"/>
    <row r="958" ht="14.25" customHeight="1" s="314"/>
    <row r="959" ht="14.25" customHeight="1" s="314"/>
    <row r="960" ht="14.25" customHeight="1" s="314"/>
    <row r="961" ht="14.25" customHeight="1" s="314"/>
    <row r="962" ht="14.25" customHeight="1" s="314"/>
    <row r="963" ht="14.25" customHeight="1" s="314"/>
    <row r="964" ht="14.25" customHeight="1" s="314"/>
    <row r="965" ht="14.25" customHeight="1" s="314"/>
    <row r="966" ht="14.25" customHeight="1" s="314"/>
    <row r="967" ht="14.25" customHeight="1" s="314"/>
    <row r="968" ht="14.25" customHeight="1" s="314"/>
    <row r="969" ht="14.25" customHeight="1" s="314"/>
    <row r="970" ht="14.25" customHeight="1" s="314"/>
    <row r="971" ht="14.25" customHeight="1" s="314"/>
    <row r="972" ht="14.25" customHeight="1" s="314"/>
    <row r="973" ht="14.25" customHeight="1" s="314"/>
    <row r="974" ht="14.25" customHeight="1" s="314"/>
    <row r="975" ht="14.25" customHeight="1" s="314"/>
    <row r="976" ht="14.25" customHeight="1" s="314"/>
    <row r="977" ht="14.25" customHeight="1" s="314"/>
    <row r="978" ht="14.25" customHeight="1" s="314"/>
    <row r="979" ht="14.25" customHeight="1" s="314"/>
    <row r="980" ht="14.25" customHeight="1" s="314"/>
    <row r="981" ht="14.25" customHeight="1" s="314"/>
    <row r="982" ht="14.25" customHeight="1" s="314"/>
    <row r="983" ht="14.25" customHeight="1" s="314"/>
    <row r="984" ht="14.25" customHeight="1" s="314"/>
    <row r="985" ht="14.25" customHeight="1" s="314"/>
    <row r="986" ht="14.25" customHeight="1" s="314"/>
    <row r="987" ht="14.25" customHeight="1" s="314"/>
    <row r="988" ht="14.25" customHeight="1" s="314"/>
    <row r="989" ht="14.25" customHeight="1" s="314"/>
    <row r="990" ht="14.25" customHeight="1" s="314"/>
    <row r="991" ht="14.25" customHeight="1" s="314"/>
    <row r="992" ht="14.25" customHeight="1" s="314"/>
    <row r="993" ht="14.25" customHeight="1" s="314"/>
    <row r="994" ht="14.25" customHeight="1" s="314"/>
    <row r="995" ht="14.25" customHeight="1" s="314"/>
    <row r="996" ht="14.25" customHeight="1" s="314"/>
    <row r="997" ht="14.25" customHeight="1" s="314"/>
    <row r="998" ht="14.25" customHeight="1" s="314"/>
    <row r="999" ht="14.25" customHeight="1" s="314"/>
    <row r="1000" ht="14.25" customHeight="1" s="314"/>
  </sheetData>
  <mergeCells count="8">
    <mergeCell ref="Q7:U7"/>
    <mergeCell ref="L3:M3"/>
    <mergeCell ref="A1:U1"/>
    <mergeCell ref="Q34:U34"/>
    <mergeCell ref="Q10:S10"/>
    <mergeCell ref="Q6:U6"/>
    <mergeCell ref="Q8:S8"/>
    <mergeCell ref="Q9:U9"/>
  </mergeCells>
  <pageMargins left="0" right="0" top="0" bottom="0" header="0" footer="0"/>
  <pageSetup orientation="landscape"/>
  <rowBreaks count="1" manualBreakCount="1">
    <brk id="55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P9"/>
  <sheetViews>
    <sheetView workbookViewId="0">
      <selection activeCell="A1" sqref="A1"/>
    </sheetView>
  </sheetViews>
  <sheetFormatPr baseColWidth="10" defaultColWidth="14.5" defaultRowHeight="15" customHeight="1"/>
  <cols>
    <col width="7.5" customWidth="1" style="314" min="1" max="1"/>
    <col width="8" customWidth="1" style="314" min="2" max="2"/>
    <col width="25.5" customWidth="1" style="314" min="3" max="3"/>
    <col width="57.5" customWidth="1" style="314" min="4" max="4"/>
    <col width="17.5" customWidth="1" style="314" min="5" max="5"/>
    <col width="23" customWidth="1" style="314" min="6" max="6"/>
    <col width="19.5" customWidth="1" style="314" min="7" max="7"/>
    <col width="9" customWidth="1" style="314" min="8" max="8"/>
    <col width="9.1640625" customWidth="1" style="314" min="9" max="9"/>
    <col width="7.5" customWidth="1" style="314" min="10" max="10"/>
    <col width="17.5" customWidth="1" style="314" min="11" max="11"/>
    <col width="4.5" customWidth="1" style="314" min="12" max="12"/>
    <col width="7.5" customWidth="1" style="314" min="13" max="13"/>
    <col width="7.83203125" customWidth="1" style="314" min="14" max="14"/>
    <col width="7.1640625" customWidth="1" style="314" min="15" max="15"/>
    <col width="8.1640625" customWidth="1" style="314" min="16" max="16"/>
    <col width="7.5" customWidth="1" style="314" min="17" max="18"/>
    <col width="8.5" customWidth="1" style="314" min="19" max="19"/>
    <col width="8" customWidth="1" style="314" min="20" max="20"/>
    <col width="7.5" customWidth="1" style="314" min="21" max="22"/>
    <col width="9.5" customWidth="1" style="314" min="23" max="23"/>
    <col width="7.83203125" customWidth="1" style="314" min="24" max="24"/>
    <col width="6.1640625" customWidth="1" style="314" min="25" max="25"/>
    <col width="5.83203125" customWidth="1" style="314" min="26" max="26"/>
    <col width="6.1640625" customWidth="1" style="314" min="27" max="27"/>
    <col width="7.5" customWidth="1" style="314" min="28" max="28"/>
    <col width="9.5" customWidth="1" style="314" min="29" max="30"/>
    <col width="7.5" customWidth="1" style="314" min="31" max="31"/>
    <col width="12.5" customWidth="1" style="314" min="32" max="32"/>
    <col width="10.5" customWidth="1" style="314" min="33" max="33"/>
    <col width="8" customWidth="1" style="314" min="34" max="34"/>
    <col width="4.1640625" customWidth="1" style="314" min="35" max="35"/>
    <col width="3.5" customWidth="1" style="314" min="36" max="37"/>
    <col width="4.83203125" customWidth="1" style="314" min="38" max="38"/>
    <col width="4.5" customWidth="1" style="314" min="39" max="39"/>
    <col width="4.1640625" customWidth="1" style="314" min="40" max="40"/>
    <col width="3.5" customWidth="1" style="314" min="41" max="41"/>
    <col width="4" customWidth="1" style="314" min="42" max="42"/>
  </cols>
  <sheetData>
    <row r="1" ht="14.25" customHeight="1" s="314"/>
    <row r="2" ht="14.25" customHeight="1" s="314"/>
    <row r="3" ht="14.25" customHeight="1" s="314">
      <c r="A3" s="331" t="inlineStr">
        <is>
          <t>FTA</t>
        </is>
      </c>
      <c r="B3" s="331" t="inlineStr">
        <is>
          <t>INFO</t>
        </is>
      </c>
      <c r="C3" s="331" t="inlineStr">
        <is>
          <t>PROVEEDOR</t>
        </is>
      </c>
      <c r="D3" s="331" t="inlineStr">
        <is>
          <t>GRANJA</t>
        </is>
      </c>
      <c r="E3" s="328" t="inlineStr">
        <is>
          <t>FECHA</t>
        </is>
      </c>
      <c r="F3" s="319" t="n"/>
      <c r="G3" s="319" t="n"/>
      <c r="H3" s="329" t="inlineStr">
        <is>
          <t>horas</t>
        </is>
      </c>
      <c r="I3" s="322" t="n"/>
      <c r="J3" s="330" t="n"/>
      <c r="K3" s="261" t="inlineStr">
        <is>
          <t>EXPENDIO</t>
        </is>
      </c>
      <c r="L3" s="331" t="inlineStr">
        <is>
          <t>#</t>
        </is>
      </c>
      <c r="M3" s="324" t="inlineStr">
        <is>
          <t xml:space="preserve">PESO  </t>
        </is>
      </c>
      <c r="N3" s="319" t="n"/>
      <c r="O3" s="320" t="n"/>
      <c r="P3" s="262" t="n"/>
      <c r="Q3" s="324" t="inlineStr">
        <is>
          <t>GRASA</t>
        </is>
      </c>
      <c r="R3" s="324" t="inlineStr">
        <is>
          <t>Magro</t>
        </is>
      </c>
      <c r="S3" s="331" t="inlineStr">
        <is>
          <t>LOMO</t>
        </is>
      </c>
      <c r="T3" s="331" t="inlineStr">
        <is>
          <t>RENDIMIENTOS</t>
        </is>
      </c>
      <c r="U3" s="320" t="n"/>
      <c r="V3" s="261" t="inlineStr">
        <is>
          <t>Mermas</t>
        </is>
      </c>
      <c r="W3" s="331" t="inlineStr">
        <is>
          <t>%</t>
        </is>
      </c>
      <c r="X3" s="331" t="inlineStr">
        <is>
          <t>%</t>
        </is>
      </c>
      <c r="Y3" s="331" t="inlineStr">
        <is>
          <t>%</t>
        </is>
      </c>
      <c r="Z3" s="331" t="inlineStr">
        <is>
          <t>%</t>
        </is>
      </c>
      <c r="AA3" s="331" t="inlineStr">
        <is>
          <t>%</t>
        </is>
      </c>
      <c r="AB3" s="328" t="inlineStr">
        <is>
          <t>$/KG vivo</t>
        </is>
      </c>
      <c r="AC3" s="319" t="n"/>
      <c r="AD3" s="264" t="n"/>
      <c r="AE3" s="325" t="inlineStr">
        <is>
          <t>COSTO</t>
        </is>
      </c>
      <c r="AF3" s="326" t="n"/>
      <c r="AG3" s="327" t="n"/>
      <c r="AH3" s="265" t="n"/>
      <c r="AI3" s="335" t="n"/>
      <c r="AK3" s="313" t="n"/>
      <c r="AL3" s="266" t="n"/>
      <c r="AM3" s="267" t="n"/>
      <c r="AN3" s="313" t="n"/>
      <c r="AO3" s="313" t="n"/>
      <c r="AP3" s="264" t="n"/>
    </row>
    <row r="4" ht="14.25" customHeight="1" s="314">
      <c r="A4" s="331" t="n"/>
      <c r="B4" s="331" t="inlineStr">
        <is>
          <t>PORC</t>
        </is>
      </c>
      <c r="C4" s="331" t="n"/>
      <c r="D4" s="331" t="n"/>
      <c r="E4" s="268" t="inlineStr">
        <is>
          <t>LLEGADA</t>
        </is>
      </c>
      <c r="F4" s="268" t="inlineStr">
        <is>
          <t>SACRIFICIO</t>
        </is>
      </c>
      <c r="G4" s="268" t="inlineStr">
        <is>
          <t>DESPACHO</t>
        </is>
      </c>
      <c r="H4" s="269" t="inlineStr">
        <is>
          <t>desemb</t>
        </is>
      </c>
      <c r="I4" s="269" t="inlineStr">
        <is>
          <t>corr</t>
        </is>
      </c>
      <c r="J4" s="269" t="inlineStr">
        <is>
          <t>desp</t>
        </is>
      </c>
      <c r="K4" s="331" t="n"/>
      <c r="L4" s="331" t="n"/>
      <c r="M4" s="270" t="inlineStr">
        <is>
          <t>VIVO</t>
        </is>
      </c>
      <c r="N4" s="331" t="inlineStr">
        <is>
          <t>PROM</t>
        </is>
      </c>
      <c r="O4" s="331" t="inlineStr">
        <is>
          <t>CALIEN</t>
        </is>
      </c>
      <c r="P4" s="331" t="inlineStr">
        <is>
          <t>REFRIG</t>
        </is>
      </c>
      <c r="Q4" s="331" t="inlineStr">
        <is>
          <t>mm</t>
        </is>
      </c>
      <c r="R4" s="331" t="inlineStr">
        <is>
          <t>%</t>
        </is>
      </c>
      <c r="S4" s="331" t="inlineStr">
        <is>
          <t>MM</t>
        </is>
      </c>
      <c r="T4" s="331" t="inlineStr">
        <is>
          <t>C.Cal</t>
        </is>
      </c>
      <c r="U4" s="331" t="inlineStr">
        <is>
          <t>C,Rf</t>
        </is>
      </c>
      <c r="V4" s="331" t="inlineStr">
        <is>
          <t>%</t>
        </is>
      </c>
      <c r="W4" s="271" t="inlineStr">
        <is>
          <t>80-90 KG</t>
        </is>
      </c>
      <c r="X4" s="272" t="inlineStr">
        <is>
          <t xml:space="preserve"> - 80 KG</t>
        </is>
      </c>
      <c r="Y4" s="273" t="inlineStr">
        <is>
          <t xml:space="preserve"> +17  mm</t>
        </is>
      </c>
      <c r="Z4" s="273" t="inlineStr">
        <is>
          <t xml:space="preserve"> +22 mm</t>
        </is>
      </c>
      <c r="AA4" s="331" t="inlineStr">
        <is>
          <t>extra</t>
        </is>
      </c>
      <c r="AB4" s="274" t="inlineStr">
        <is>
          <t>BASE</t>
        </is>
      </c>
      <c r="AC4" s="328" t="inlineStr">
        <is>
          <t>PAGADO</t>
        </is>
      </c>
      <c r="AD4" s="264" t="inlineStr">
        <is>
          <t>PLANTA</t>
        </is>
      </c>
      <c r="AE4" s="275" t="inlineStr">
        <is>
          <t>LOTE</t>
        </is>
      </c>
      <c r="AF4" s="276" t="inlineStr">
        <is>
          <t>SACRIFIC</t>
        </is>
      </c>
      <c r="AG4" s="277" t="inlineStr">
        <is>
          <t>TOTAL</t>
        </is>
      </c>
      <c r="AH4" s="264" t="n"/>
      <c r="AI4" s="264" t="n"/>
      <c r="AJ4" s="264" t="n"/>
      <c r="AK4" s="264" t="n"/>
      <c r="AL4" s="278" t="n"/>
      <c r="AM4" s="279" t="n"/>
      <c r="AN4" s="313" t="n"/>
      <c r="AO4" s="264" t="n"/>
      <c r="AP4" s="264" t="n"/>
    </row>
    <row r="5" ht="14.25" customHeight="1" s="314">
      <c r="A5" s="280" t="n"/>
      <c r="B5" s="264" t="n"/>
      <c r="C5" s="264" t="n"/>
      <c r="D5" s="264" t="n"/>
      <c r="E5" s="281" t="n"/>
      <c r="F5" s="281" t="n"/>
      <c r="G5" s="281" t="n"/>
      <c r="H5" s="281" t="n"/>
      <c r="I5" s="281" t="n"/>
      <c r="J5" s="281" t="n"/>
      <c r="K5" s="264" t="n"/>
      <c r="L5" s="264" t="n"/>
      <c r="M5" s="264" t="n"/>
      <c r="N5" s="264" t="n"/>
      <c r="O5" s="282" t="n"/>
      <c r="P5" s="282" t="n"/>
      <c r="Q5" s="264" t="n"/>
      <c r="R5" s="282" t="n"/>
      <c r="S5" s="264" t="n"/>
      <c r="T5" s="264" t="n"/>
      <c r="U5" s="264" t="n"/>
      <c r="V5" s="264" t="n"/>
      <c r="W5" s="278" t="n"/>
      <c r="X5" s="283" t="n"/>
      <c r="Y5" s="284" t="n"/>
      <c r="Z5" s="284" t="n"/>
      <c r="AA5" s="264" t="n"/>
      <c r="AB5" s="264" t="n"/>
      <c r="AC5" s="264" t="n"/>
      <c r="AD5" s="264" t="n"/>
      <c r="AE5" s="264" t="n"/>
      <c r="AF5" s="264" t="n"/>
      <c r="AG5" s="264" t="n"/>
      <c r="AH5" s="264" t="n"/>
      <c r="AI5" s="264" t="n"/>
      <c r="AJ5" s="264" t="n"/>
      <c r="AK5" s="264" t="n"/>
      <c r="AL5" s="278" t="n"/>
      <c r="AM5" s="279" t="n"/>
      <c r="AN5" s="313" t="n"/>
      <c r="AO5" s="264" t="n"/>
      <c r="AP5" s="264" t="n"/>
    </row>
    <row r="6" ht="14.25" customHeight="1" s="314">
      <c r="A6" s="18" t="n"/>
      <c r="B6" s="18">
        <f>+lIQUIDACION!O3</f>
        <v/>
      </c>
      <c r="C6" s="18">
        <f>+lIQUIDACION!Q3</f>
        <v/>
      </c>
      <c r="D6" s="18">
        <f>+lIQUIDACION!Q4</f>
        <v/>
      </c>
      <c r="E6" s="17">
        <f>+lIQUIDACION!L4</f>
        <v/>
      </c>
      <c r="F6" s="17">
        <f>+lIQUIDACION!L6</f>
        <v/>
      </c>
      <c r="G6" s="17">
        <f>+lIQUIDACION!L7</f>
        <v/>
      </c>
      <c r="H6" s="285">
        <f>+lIQUIDACION!N5</f>
        <v/>
      </c>
      <c r="I6" s="285">
        <f>+lIQUIDACION!N6</f>
        <v/>
      </c>
      <c r="J6" s="285">
        <f>+lIQUIDACION!N8</f>
        <v/>
      </c>
      <c r="K6" s="18">
        <f>+lIQUIDACION!Q6</f>
        <v/>
      </c>
      <c r="L6" s="20">
        <f>+lIQUIDACION!M10</f>
        <v/>
      </c>
      <c r="M6" s="286">
        <f>+lIQUIDACION!L16</f>
        <v/>
      </c>
      <c r="N6" s="287">
        <f>+lIQUIDACION!M16</f>
        <v/>
      </c>
      <c r="O6" s="286">
        <f>+lIQUIDACION!N16</f>
        <v/>
      </c>
      <c r="P6" s="286">
        <f>+lIQUIDACION!O16</f>
        <v/>
      </c>
      <c r="Q6" s="288">
        <f>+lIQUIDACION!R16</f>
        <v/>
      </c>
      <c r="R6" s="288">
        <f>+lIQUIDACION!S16</f>
        <v/>
      </c>
      <c r="S6" s="288">
        <f>+lIQUIDACION!T16</f>
        <v/>
      </c>
      <c r="T6" s="289">
        <f>+lIQUIDACION!N17</f>
        <v/>
      </c>
      <c r="U6" s="289">
        <f>+lIQUIDACION!O17</f>
        <v/>
      </c>
      <c r="V6" s="289">
        <f>+lIQUIDACION!P16</f>
        <v/>
      </c>
      <c r="W6" s="290">
        <f>+lIQUIDACION!P24</f>
        <v/>
      </c>
      <c r="X6" s="290">
        <f>+lIQUIDACION!P25</f>
        <v/>
      </c>
      <c r="Y6" s="290">
        <f>+lIQUIDACION!P29+lIQUIDACION!P30</f>
        <v/>
      </c>
      <c r="Z6" s="290">
        <f>+lIQUIDACION!P31</f>
        <v/>
      </c>
      <c r="AA6" s="290">
        <f>+lIQUIDACION!P27</f>
        <v/>
      </c>
      <c r="AB6" s="251">
        <f>+lIQUIDACION!M35</f>
        <v/>
      </c>
      <c r="AC6" s="251">
        <f>+lIQUIDACION!M37</f>
        <v/>
      </c>
      <c r="AD6" s="251">
        <f>+lIQUIDACION!L3</f>
        <v/>
      </c>
      <c r="AE6" s="251">
        <f>+lIQUIDACION!O37</f>
        <v/>
      </c>
      <c r="AF6" s="251">
        <f>+lIQUIDACION!O38</f>
        <v/>
      </c>
      <c r="AG6" s="251">
        <f>+lIQUIDACION!O45</f>
        <v/>
      </c>
      <c r="AH6" s="251" t="n"/>
      <c r="AI6" s="291" t="n"/>
      <c r="AJ6" s="291" t="n"/>
      <c r="AK6" s="291" t="n"/>
      <c r="AL6" s="289" t="n"/>
      <c r="AM6" s="291" t="n"/>
      <c r="AN6" s="251" t="n"/>
      <c r="AO6" s="18" t="n"/>
      <c r="AP6" s="251" t="n"/>
    </row>
    <row r="7" ht="14.25" customHeight="1" s="314">
      <c r="A7" s="313" t="n"/>
      <c r="B7" s="313" t="n"/>
      <c r="C7" s="313" t="n"/>
      <c r="D7" s="313" t="n"/>
      <c r="E7" s="292" t="n"/>
      <c r="F7" s="292" t="n"/>
      <c r="G7" s="292" t="n"/>
      <c r="H7" s="292" t="n"/>
      <c r="I7" s="292" t="n"/>
      <c r="J7" s="292" t="n"/>
      <c r="K7" s="313" t="n"/>
      <c r="L7" s="313" t="n"/>
      <c r="M7" s="254" t="n"/>
      <c r="N7" s="293" t="n"/>
      <c r="O7" s="254" t="n"/>
      <c r="P7" s="60" t="n"/>
      <c r="Q7" s="294" t="n"/>
      <c r="R7" s="294" t="n"/>
      <c r="S7" s="294" t="n"/>
      <c r="T7" s="295" t="n"/>
      <c r="U7" s="295" t="n"/>
      <c r="V7" s="295" t="n"/>
      <c r="W7" s="296" t="n"/>
      <c r="X7" s="296" t="n"/>
      <c r="Y7" s="296" t="n"/>
      <c r="Z7" s="296" t="n"/>
      <c r="AA7" s="296" t="n"/>
      <c r="AB7" s="297" t="n"/>
      <c r="AC7" s="297" t="n"/>
      <c r="AD7" s="297" t="n"/>
      <c r="AE7" s="313" t="n"/>
      <c r="AF7" s="297" t="n"/>
      <c r="AG7" s="297" t="n"/>
      <c r="AH7" s="297" t="n"/>
      <c r="AI7" s="297" t="n"/>
      <c r="AJ7" s="297" t="n"/>
      <c r="AK7" s="297" t="n"/>
      <c r="AL7" s="297" t="n"/>
      <c r="AM7" s="298" t="n"/>
      <c r="AN7" s="297" t="n"/>
      <c r="AO7" s="299" t="n"/>
      <c r="AP7" s="300" t="n"/>
    </row>
    <row r="8" ht="14.25" customHeight="1" s="314">
      <c r="A8" s="313" t="n"/>
      <c r="B8" s="313" t="n"/>
      <c r="C8" s="313" t="n"/>
      <c r="D8" s="313" t="n"/>
      <c r="E8" s="292" t="n"/>
      <c r="F8" s="292" t="n"/>
      <c r="G8" s="292" t="n"/>
      <c r="H8" s="292" t="n"/>
      <c r="I8" s="292" t="n"/>
      <c r="J8" s="292" t="n"/>
      <c r="K8" s="313" t="n"/>
      <c r="L8" s="313" t="n"/>
      <c r="M8" s="254" t="n"/>
      <c r="N8" s="293" t="n"/>
      <c r="O8" s="254" t="n"/>
      <c r="P8" s="60" t="n"/>
      <c r="Q8" s="294" t="n"/>
      <c r="R8" s="294" t="n"/>
      <c r="S8" s="294" t="n"/>
      <c r="T8" s="295" t="n"/>
      <c r="U8" s="295" t="n"/>
      <c r="V8" s="295" t="n"/>
      <c r="W8" s="296" t="n"/>
      <c r="X8" s="296" t="n"/>
      <c r="Y8" s="296" t="n"/>
      <c r="Z8" s="296" t="n"/>
      <c r="AA8" s="296" t="n"/>
      <c r="AB8" s="297" t="n"/>
      <c r="AC8" s="297" t="n"/>
      <c r="AD8" s="297" t="n"/>
      <c r="AE8" s="313" t="n"/>
      <c r="AF8" s="297" t="n"/>
      <c r="AG8" s="297" t="n"/>
      <c r="AH8" s="297" t="n"/>
      <c r="AI8" s="297" t="n"/>
      <c r="AJ8" s="297" t="n"/>
      <c r="AK8" s="297" t="n"/>
      <c r="AL8" s="297" t="n"/>
      <c r="AM8" s="298" t="n"/>
      <c r="AN8" s="297" t="n"/>
      <c r="AO8" s="299" t="n"/>
      <c r="AP8" s="300" t="n"/>
    </row>
    <row r="9" ht="14.25" customHeight="1" s="314">
      <c r="A9" s="313" t="n"/>
      <c r="B9" s="313" t="n"/>
      <c r="C9" s="313" t="n"/>
      <c r="D9" s="313" t="n"/>
      <c r="E9" s="292" t="n"/>
      <c r="F9" s="292" t="n"/>
      <c r="G9" s="292" t="n"/>
      <c r="H9" s="292" t="n"/>
      <c r="I9" s="292" t="n"/>
      <c r="J9" s="292" t="n"/>
      <c r="K9" s="313" t="n"/>
      <c r="L9" s="313" t="n"/>
      <c r="M9" s="254" t="n"/>
      <c r="N9" s="293" t="n"/>
      <c r="O9" s="254" t="n"/>
      <c r="P9" s="60" t="n"/>
      <c r="Q9" s="294" t="n"/>
      <c r="R9" s="294" t="n"/>
      <c r="S9" s="294" t="n"/>
      <c r="T9" s="295" t="n"/>
      <c r="U9" s="295" t="n"/>
      <c r="V9" s="295" t="n"/>
      <c r="W9" s="296" t="n"/>
      <c r="X9" s="296" t="n"/>
      <c r="Y9" s="296" t="n"/>
      <c r="Z9" s="296" t="n"/>
      <c r="AA9" s="296" t="n"/>
      <c r="AB9" s="297" t="n"/>
      <c r="AC9" s="297" t="n"/>
      <c r="AD9" s="297" t="n"/>
      <c r="AE9" s="313" t="n"/>
      <c r="AF9" s="297" t="n"/>
      <c r="AG9" s="297" t="n"/>
      <c r="AH9" s="297" t="n"/>
      <c r="AI9" s="297" t="n"/>
      <c r="AJ9" s="297" t="n"/>
      <c r="AK9" s="297" t="n"/>
      <c r="AL9" s="297" t="n"/>
      <c r="AM9" s="298" t="n"/>
      <c r="AN9" s="297" t="n"/>
      <c r="AO9" s="299" t="n"/>
      <c r="AP9" s="300" t="n"/>
    </row>
    <row r="10" ht="14.25" customHeight="1" s="314"/>
    <row r="11" ht="14.25" customHeight="1" s="314"/>
    <row r="12" ht="14.25" customHeight="1" s="314"/>
    <row r="13" ht="14.25" customHeight="1" s="314"/>
    <row r="14" ht="14.25" customHeight="1" s="314"/>
    <row r="15" ht="14.25" customHeight="1" s="314"/>
    <row r="16" ht="14.25" customHeight="1" s="314"/>
    <row r="17" ht="14.25" customHeight="1" s="314"/>
    <row r="18" ht="14.25" customHeight="1" s="314"/>
    <row r="19" ht="14.25" customHeight="1" s="314"/>
    <row r="20" ht="14.25" customHeight="1" s="314"/>
    <row r="21" ht="14.25" customHeight="1" s="314"/>
    <row r="22" ht="14.25" customHeight="1" s="314"/>
    <row r="23" ht="14.25" customHeight="1" s="314"/>
    <row r="24" ht="14.25" customHeight="1" s="314"/>
    <row r="25" ht="14.25" customHeight="1" s="314"/>
    <row r="26" ht="14.25" customHeight="1" s="314"/>
    <row r="27" ht="14.25" customHeight="1" s="314"/>
    <row r="28" ht="14.25" customHeight="1" s="314"/>
    <row r="29" ht="14.25" customHeight="1" s="314"/>
    <row r="30" ht="14.25" customHeight="1" s="314"/>
    <row r="31" ht="14.25" customHeight="1" s="314"/>
    <row r="32" ht="14.25" customHeight="1" s="314"/>
    <row r="33" ht="14.25" customHeight="1" s="314"/>
    <row r="34" ht="14.25" customHeight="1" s="314"/>
    <row r="35" ht="14.25" customHeight="1" s="314"/>
    <row r="36" ht="14.25" customHeight="1" s="314"/>
    <row r="37" ht="14.25" customHeight="1" s="314"/>
    <row r="38" ht="14.25" customHeight="1" s="314"/>
    <row r="39" ht="14.25" customHeight="1" s="314"/>
    <row r="40" ht="14.25" customHeight="1" s="314"/>
    <row r="41" ht="14.25" customHeight="1" s="314"/>
    <row r="42" ht="14.25" customHeight="1" s="314"/>
    <row r="43" ht="14.25" customHeight="1" s="314"/>
    <row r="44" ht="14.25" customHeight="1" s="314"/>
    <row r="45" ht="14.25" customHeight="1" s="314"/>
    <row r="46" ht="14.25" customHeight="1" s="314"/>
    <row r="47" ht="14.25" customHeight="1" s="314"/>
    <row r="48" ht="14.25" customHeight="1" s="314"/>
    <row r="49" ht="14.25" customHeight="1" s="314"/>
    <row r="50" ht="14.25" customHeight="1" s="314"/>
    <row r="51" ht="14.25" customHeight="1" s="314"/>
    <row r="52" ht="14.25" customHeight="1" s="314"/>
    <row r="53" ht="14.25" customHeight="1" s="314"/>
    <row r="54" ht="14.25" customHeight="1" s="314"/>
    <row r="55" ht="14.25" customHeight="1" s="314"/>
    <row r="56" ht="14.25" customHeight="1" s="314"/>
    <row r="57" ht="14.25" customHeight="1" s="314"/>
    <row r="58" ht="14.25" customHeight="1" s="314"/>
    <row r="59" ht="14.25" customHeight="1" s="314"/>
    <row r="60" ht="14.25" customHeight="1" s="314"/>
    <row r="61" ht="14.25" customHeight="1" s="314"/>
    <row r="62" ht="14.25" customHeight="1" s="314"/>
    <row r="63" ht="14.25" customHeight="1" s="314"/>
    <row r="64" ht="14.25" customHeight="1" s="314"/>
    <row r="65" ht="14.25" customHeight="1" s="314"/>
    <row r="66" ht="14.25" customHeight="1" s="314"/>
    <row r="67" ht="14.25" customHeight="1" s="314"/>
    <row r="68" ht="14.25" customHeight="1" s="314"/>
    <row r="69" ht="14.25" customHeight="1" s="314"/>
    <row r="70" ht="14.25" customHeight="1" s="314"/>
    <row r="71" ht="14.25" customHeight="1" s="314"/>
    <row r="72" ht="14.25" customHeight="1" s="314"/>
    <row r="73" ht="14.25" customHeight="1" s="314"/>
    <row r="74" ht="14.25" customHeight="1" s="314"/>
    <row r="75" ht="14.25" customHeight="1" s="314"/>
    <row r="76" ht="14.25" customHeight="1" s="314"/>
    <row r="77" ht="14.25" customHeight="1" s="314"/>
    <row r="78" ht="14.25" customHeight="1" s="314"/>
    <row r="79" ht="14.25" customHeight="1" s="314"/>
    <row r="80" ht="14.25" customHeight="1" s="314"/>
    <row r="81" ht="14.25" customHeight="1" s="314"/>
    <row r="82" ht="14.25" customHeight="1" s="314"/>
    <row r="83" ht="14.25" customHeight="1" s="314"/>
    <row r="84" ht="14.25" customHeight="1" s="314"/>
    <row r="85" ht="14.25" customHeight="1" s="314"/>
    <row r="86" ht="14.25" customHeight="1" s="314"/>
    <row r="87" ht="14.25" customHeight="1" s="314"/>
    <row r="88" ht="14.25" customHeight="1" s="314"/>
    <row r="89" ht="14.25" customHeight="1" s="314"/>
    <row r="90" ht="14.25" customHeight="1" s="314"/>
    <row r="91" ht="14.25" customHeight="1" s="314"/>
    <row r="92" ht="14.25" customHeight="1" s="314"/>
    <row r="93" ht="14.25" customHeight="1" s="314"/>
    <row r="94" ht="14.25" customHeight="1" s="314"/>
    <row r="95" ht="14.25" customHeight="1" s="314"/>
    <row r="96" ht="14.25" customHeight="1" s="314"/>
    <row r="97" ht="14.25" customHeight="1" s="314"/>
    <row r="98" ht="14.25" customHeight="1" s="314"/>
    <row r="99" ht="14.25" customHeight="1" s="314"/>
    <row r="100" ht="14.25" customHeight="1" s="314"/>
    <row r="101" ht="14.25" customHeight="1" s="314"/>
    <row r="102" ht="14.25" customHeight="1" s="314"/>
    <row r="103" ht="14.25" customHeight="1" s="314"/>
    <row r="104" ht="14.25" customHeight="1" s="314"/>
    <row r="105" ht="14.25" customHeight="1" s="314"/>
    <row r="106" ht="14.25" customHeight="1" s="314"/>
    <row r="107" ht="14.25" customHeight="1" s="314"/>
    <row r="108" ht="14.25" customHeight="1" s="314"/>
    <row r="109" ht="14.25" customHeight="1" s="314"/>
    <row r="110" ht="14.25" customHeight="1" s="314"/>
    <row r="111" ht="14.25" customHeight="1" s="314"/>
    <row r="112" ht="14.25" customHeight="1" s="314"/>
    <row r="113" ht="14.25" customHeight="1" s="314"/>
    <row r="114" ht="14.25" customHeight="1" s="314"/>
    <row r="115" ht="14.25" customHeight="1" s="314"/>
    <row r="116" ht="14.25" customHeight="1" s="314"/>
    <row r="117" ht="14.25" customHeight="1" s="314"/>
    <row r="118" ht="14.25" customHeight="1" s="314"/>
    <row r="119" ht="14.25" customHeight="1" s="314"/>
    <row r="120" ht="14.25" customHeight="1" s="314"/>
    <row r="121" ht="14.25" customHeight="1" s="314"/>
    <row r="122" ht="14.25" customHeight="1" s="314"/>
    <row r="123" ht="14.25" customHeight="1" s="314"/>
    <row r="124" ht="14.25" customHeight="1" s="314"/>
    <row r="125" ht="14.25" customHeight="1" s="314"/>
    <row r="126" ht="14.25" customHeight="1" s="314"/>
    <row r="127" ht="14.25" customHeight="1" s="314"/>
    <row r="128" ht="14.25" customHeight="1" s="314"/>
    <row r="129" ht="14.25" customHeight="1" s="314"/>
    <row r="130" ht="14.25" customHeight="1" s="314"/>
    <row r="131" ht="14.25" customHeight="1" s="314"/>
    <row r="132" ht="14.25" customHeight="1" s="314"/>
    <row r="133" ht="14.25" customHeight="1" s="314"/>
    <row r="134" ht="14.25" customHeight="1" s="314"/>
    <row r="135" ht="14.25" customHeight="1" s="314"/>
    <row r="136" ht="14.25" customHeight="1" s="314"/>
    <row r="137" ht="14.25" customHeight="1" s="314"/>
    <row r="138" ht="14.25" customHeight="1" s="314"/>
    <row r="139" ht="14.25" customHeight="1" s="314"/>
    <row r="140" ht="14.25" customHeight="1" s="314"/>
    <row r="141" ht="14.25" customHeight="1" s="314"/>
    <row r="142" ht="14.25" customHeight="1" s="314"/>
    <row r="143" ht="14.25" customHeight="1" s="314"/>
    <row r="144" ht="14.25" customHeight="1" s="314"/>
    <row r="145" ht="14.25" customHeight="1" s="314"/>
    <row r="146" ht="14.25" customHeight="1" s="314"/>
    <row r="147" ht="14.25" customHeight="1" s="314"/>
    <row r="148" ht="14.25" customHeight="1" s="314"/>
    <row r="149" ht="14.25" customHeight="1" s="314"/>
    <row r="150" ht="14.25" customHeight="1" s="314"/>
    <row r="151" ht="14.25" customHeight="1" s="314"/>
    <row r="152" ht="14.25" customHeight="1" s="314"/>
    <row r="153" ht="14.25" customHeight="1" s="314"/>
    <row r="154" ht="14.25" customHeight="1" s="314"/>
    <row r="155" ht="14.25" customHeight="1" s="314"/>
    <row r="156" ht="14.25" customHeight="1" s="314"/>
    <row r="157" ht="14.25" customHeight="1" s="314"/>
    <row r="158" ht="14.25" customHeight="1" s="314"/>
    <row r="159" ht="14.25" customHeight="1" s="314"/>
    <row r="160" ht="14.25" customHeight="1" s="314"/>
    <row r="161" ht="14.25" customHeight="1" s="314"/>
    <row r="162" ht="14.25" customHeight="1" s="314"/>
    <row r="163" ht="14.25" customHeight="1" s="314"/>
    <row r="164" ht="14.25" customHeight="1" s="314"/>
    <row r="165" ht="14.25" customHeight="1" s="314"/>
    <row r="166" ht="14.25" customHeight="1" s="314"/>
    <row r="167" ht="14.25" customHeight="1" s="314"/>
    <row r="168" ht="14.25" customHeight="1" s="314"/>
    <row r="169" ht="14.25" customHeight="1" s="314"/>
    <row r="170" ht="14.25" customHeight="1" s="314"/>
    <row r="171" ht="14.25" customHeight="1" s="314"/>
    <row r="172" ht="14.25" customHeight="1" s="314"/>
    <row r="173" ht="14.25" customHeight="1" s="314"/>
    <row r="174" ht="14.25" customHeight="1" s="314"/>
    <row r="175" ht="14.25" customHeight="1" s="314"/>
    <row r="176" ht="14.25" customHeight="1" s="314"/>
    <row r="177" ht="14.25" customHeight="1" s="314"/>
    <row r="178" ht="14.25" customHeight="1" s="314"/>
    <row r="179" ht="14.25" customHeight="1" s="314"/>
    <row r="180" ht="14.25" customHeight="1" s="314"/>
    <row r="181" ht="14.25" customHeight="1" s="314"/>
    <row r="182" ht="14.25" customHeight="1" s="314"/>
    <row r="183" ht="14.25" customHeight="1" s="314"/>
    <row r="184" ht="14.25" customHeight="1" s="314"/>
    <row r="185" ht="14.25" customHeight="1" s="314"/>
    <row r="186" ht="14.25" customHeight="1" s="314"/>
    <row r="187" ht="14.25" customHeight="1" s="314"/>
    <row r="188" ht="14.25" customHeight="1" s="314"/>
    <row r="189" ht="14.25" customHeight="1" s="314"/>
    <row r="190" ht="14.25" customHeight="1" s="314"/>
    <row r="191" ht="14.25" customHeight="1" s="314"/>
    <row r="192" ht="14.25" customHeight="1" s="314"/>
    <row r="193" ht="14.25" customHeight="1" s="314"/>
    <row r="194" ht="14.25" customHeight="1" s="314"/>
    <row r="195" ht="14.25" customHeight="1" s="314"/>
    <row r="196" ht="14.25" customHeight="1" s="314"/>
    <row r="197" ht="14.25" customHeight="1" s="314"/>
    <row r="198" ht="14.25" customHeight="1" s="314"/>
    <row r="199" ht="14.25" customHeight="1" s="314"/>
    <row r="200" ht="14.25" customHeight="1" s="314"/>
    <row r="201" ht="14.25" customHeight="1" s="314"/>
    <row r="202" ht="14.25" customHeight="1" s="314"/>
    <row r="203" ht="14.25" customHeight="1" s="314"/>
    <row r="204" ht="14.25" customHeight="1" s="314"/>
    <row r="205" ht="14.25" customHeight="1" s="314"/>
    <row r="206" ht="14.25" customHeight="1" s="314"/>
    <row r="207" ht="14.25" customHeight="1" s="314"/>
    <row r="208" ht="14.25" customHeight="1" s="314"/>
    <row r="209" ht="14.25" customHeight="1" s="314"/>
    <row r="210" ht="14.25" customHeight="1" s="314"/>
    <row r="211" ht="14.25" customHeight="1" s="314"/>
    <row r="212" ht="14.25" customHeight="1" s="314"/>
    <row r="213" ht="14.25" customHeight="1" s="314"/>
    <row r="214" ht="14.25" customHeight="1" s="314"/>
    <row r="215" ht="14.25" customHeight="1" s="314"/>
    <row r="216" ht="14.25" customHeight="1" s="314"/>
    <row r="217" ht="14.25" customHeight="1" s="314"/>
    <row r="218" ht="14.25" customHeight="1" s="314"/>
    <row r="219" ht="14.25" customHeight="1" s="314"/>
    <row r="220" ht="14.25" customHeight="1" s="314"/>
    <row r="221" ht="14.25" customHeight="1" s="314"/>
    <row r="222" ht="14.25" customHeight="1" s="314"/>
    <row r="223" ht="14.25" customHeight="1" s="314"/>
    <row r="224" ht="14.25" customHeight="1" s="314"/>
    <row r="225" ht="14.25" customHeight="1" s="314"/>
    <row r="226" ht="14.25" customHeight="1" s="314"/>
    <row r="227" ht="14.25" customHeight="1" s="314"/>
    <row r="228" ht="14.25" customHeight="1" s="314"/>
    <row r="229" ht="14.25" customHeight="1" s="314"/>
    <row r="230" ht="14.25" customHeight="1" s="314"/>
    <row r="231" ht="14.25" customHeight="1" s="314"/>
    <row r="232" ht="14.25" customHeight="1" s="314"/>
    <row r="233" ht="14.25" customHeight="1" s="314"/>
    <row r="234" ht="14.25" customHeight="1" s="314"/>
    <row r="235" ht="14.25" customHeight="1" s="314"/>
    <row r="236" ht="14.25" customHeight="1" s="314"/>
    <row r="237" ht="14.25" customHeight="1" s="314"/>
    <row r="238" ht="14.25" customHeight="1" s="314"/>
    <row r="239" ht="14.25" customHeight="1" s="314"/>
    <row r="240" ht="14.25" customHeight="1" s="314"/>
    <row r="241" ht="14.25" customHeight="1" s="314"/>
    <row r="242" ht="14.25" customHeight="1" s="314"/>
    <row r="243" ht="14.25" customHeight="1" s="314"/>
    <row r="244" ht="14.25" customHeight="1" s="314"/>
    <row r="245" ht="14.25" customHeight="1" s="314"/>
    <row r="246" ht="14.25" customHeight="1" s="314"/>
    <row r="247" ht="14.25" customHeight="1" s="314"/>
    <row r="248" ht="14.25" customHeight="1" s="314"/>
    <row r="249" ht="14.25" customHeight="1" s="314"/>
    <row r="250" ht="14.25" customHeight="1" s="314"/>
    <row r="251" ht="14.25" customHeight="1" s="314"/>
    <row r="252" ht="14.25" customHeight="1" s="314"/>
    <row r="253" ht="14.25" customHeight="1" s="314"/>
    <row r="254" ht="14.25" customHeight="1" s="314"/>
    <row r="255" ht="14.25" customHeight="1" s="314"/>
    <row r="256" ht="14.25" customHeight="1" s="314"/>
    <row r="257" ht="14.25" customHeight="1" s="314"/>
    <row r="258" ht="14.25" customHeight="1" s="314"/>
    <row r="259" ht="14.25" customHeight="1" s="314"/>
    <row r="260" ht="14.25" customHeight="1" s="314"/>
    <row r="261" ht="14.25" customHeight="1" s="314"/>
    <row r="262" ht="14.25" customHeight="1" s="314"/>
    <row r="263" ht="14.25" customHeight="1" s="314"/>
    <row r="264" ht="14.25" customHeight="1" s="314"/>
    <row r="265" ht="14.25" customHeight="1" s="314"/>
    <row r="266" ht="14.25" customHeight="1" s="314"/>
    <row r="267" ht="14.25" customHeight="1" s="314"/>
    <row r="268" ht="14.25" customHeight="1" s="314"/>
    <row r="269" ht="14.25" customHeight="1" s="314"/>
    <row r="270" ht="14.25" customHeight="1" s="314"/>
    <row r="271" ht="14.25" customHeight="1" s="314"/>
    <row r="272" ht="14.25" customHeight="1" s="314"/>
    <row r="273" ht="14.25" customHeight="1" s="314"/>
    <row r="274" ht="14.25" customHeight="1" s="314"/>
    <row r="275" ht="14.25" customHeight="1" s="314"/>
    <row r="276" ht="14.25" customHeight="1" s="314"/>
    <row r="277" ht="14.25" customHeight="1" s="314"/>
    <row r="278" ht="14.25" customHeight="1" s="314"/>
    <row r="279" ht="14.25" customHeight="1" s="314"/>
    <row r="280" ht="14.25" customHeight="1" s="314"/>
    <row r="281" ht="14.25" customHeight="1" s="314"/>
    <row r="282" ht="14.25" customHeight="1" s="314"/>
    <row r="283" ht="14.25" customHeight="1" s="314"/>
    <row r="284" ht="14.25" customHeight="1" s="314"/>
    <row r="285" ht="14.25" customHeight="1" s="314"/>
    <row r="286" ht="14.25" customHeight="1" s="314"/>
    <row r="287" ht="14.25" customHeight="1" s="314"/>
    <row r="288" ht="14.25" customHeight="1" s="314"/>
    <row r="289" ht="14.25" customHeight="1" s="314"/>
    <row r="290" ht="14.25" customHeight="1" s="314"/>
    <row r="291" ht="14.25" customHeight="1" s="314"/>
    <row r="292" ht="14.25" customHeight="1" s="314"/>
    <row r="293" ht="14.25" customHeight="1" s="314"/>
    <row r="294" ht="14.25" customHeight="1" s="314"/>
    <row r="295" ht="14.25" customHeight="1" s="314"/>
    <row r="296" ht="14.25" customHeight="1" s="314"/>
    <row r="297" ht="14.25" customHeight="1" s="314"/>
    <row r="298" ht="14.25" customHeight="1" s="314"/>
    <row r="299" ht="14.25" customHeight="1" s="314"/>
    <row r="300" ht="14.25" customHeight="1" s="314"/>
    <row r="301" ht="14.25" customHeight="1" s="314"/>
    <row r="302" ht="14.25" customHeight="1" s="314"/>
    <row r="303" ht="14.25" customHeight="1" s="314"/>
    <row r="304" ht="14.25" customHeight="1" s="314"/>
    <row r="305" ht="14.25" customHeight="1" s="314"/>
    <row r="306" ht="14.25" customHeight="1" s="314"/>
    <row r="307" ht="14.25" customHeight="1" s="314"/>
    <row r="308" ht="14.25" customHeight="1" s="314"/>
    <row r="309" ht="14.25" customHeight="1" s="314"/>
    <row r="310" ht="14.25" customHeight="1" s="314"/>
    <row r="311" ht="14.25" customHeight="1" s="314"/>
    <row r="312" ht="14.25" customHeight="1" s="314"/>
    <row r="313" ht="14.25" customHeight="1" s="314"/>
    <row r="314" ht="14.25" customHeight="1" s="314"/>
    <row r="315" ht="14.25" customHeight="1" s="314"/>
    <row r="316" ht="14.25" customHeight="1" s="314"/>
    <row r="317" ht="14.25" customHeight="1" s="314"/>
    <row r="318" ht="14.25" customHeight="1" s="314"/>
    <row r="319" ht="14.25" customHeight="1" s="314"/>
    <row r="320" ht="14.25" customHeight="1" s="314"/>
    <row r="321" ht="14.25" customHeight="1" s="314"/>
    <row r="322" ht="14.25" customHeight="1" s="314"/>
    <row r="323" ht="14.25" customHeight="1" s="314"/>
    <row r="324" ht="14.25" customHeight="1" s="314"/>
    <row r="325" ht="14.25" customHeight="1" s="314"/>
    <row r="326" ht="14.25" customHeight="1" s="314"/>
    <row r="327" ht="14.25" customHeight="1" s="314"/>
    <row r="328" ht="14.25" customHeight="1" s="314"/>
    <row r="329" ht="14.25" customHeight="1" s="314"/>
    <row r="330" ht="14.25" customHeight="1" s="314"/>
    <row r="331" ht="14.25" customHeight="1" s="314"/>
    <row r="332" ht="14.25" customHeight="1" s="314"/>
    <row r="333" ht="14.25" customHeight="1" s="314"/>
    <row r="334" ht="14.25" customHeight="1" s="314"/>
    <row r="335" ht="14.25" customHeight="1" s="314"/>
    <row r="336" ht="14.25" customHeight="1" s="314"/>
    <row r="337" ht="14.25" customHeight="1" s="314"/>
    <row r="338" ht="14.25" customHeight="1" s="314"/>
    <row r="339" ht="14.25" customHeight="1" s="314"/>
    <row r="340" ht="14.25" customHeight="1" s="314"/>
    <row r="341" ht="14.25" customHeight="1" s="314"/>
    <row r="342" ht="14.25" customHeight="1" s="314"/>
    <row r="343" ht="14.25" customHeight="1" s="314"/>
    <row r="344" ht="14.25" customHeight="1" s="314"/>
    <row r="345" ht="14.25" customHeight="1" s="314"/>
    <row r="346" ht="14.25" customHeight="1" s="314"/>
    <row r="347" ht="14.25" customHeight="1" s="314"/>
    <row r="348" ht="14.25" customHeight="1" s="314"/>
    <row r="349" ht="14.25" customHeight="1" s="314"/>
    <row r="350" ht="14.25" customHeight="1" s="314"/>
    <row r="351" ht="14.25" customHeight="1" s="314"/>
    <row r="352" ht="14.25" customHeight="1" s="314"/>
    <row r="353" ht="14.25" customHeight="1" s="314"/>
    <row r="354" ht="14.25" customHeight="1" s="314"/>
    <row r="355" ht="14.25" customHeight="1" s="314"/>
    <row r="356" ht="14.25" customHeight="1" s="314"/>
    <row r="357" ht="14.25" customHeight="1" s="314"/>
    <row r="358" ht="14.25" customHeight="1" s="314"/>
    <row r="359" ht="14.25" customHeight="1" s="314"/>
    <row r="360" ht="14.25" customHeight="1" s="314"/>
    <row r="361" ht="14.25" customHeight="1" s="314"/>
    <row r="362" ht="14.25" customHeight="1" s="314"/>
    <row r="363" ht="14.25" customHeight="1" s="314"/>
    <row r="364" ht="14.25" customHeight="1" s="314"/>
    <row r="365" ht="14.25" customHeight="1" s="314"/>
    <row r="366" ht="14.25" customHeight="1" s="314"/>
    <row r="367" ht="14.25" customHeight="1" s="314"/>
    <row r="368" ht="14.25" customHeight="1" s="314"/>
    <row r="369" ht="14.25" customHeight="1" s="314"/>
    <row r="370" ht="14.25" customHeight="1" s="314"/>
    <row r="371" ht="14.25" customHeight="1" s="314"/>
    <row r="372" ht="14.25" customHeight="1" s="314"/>
    <row r="373" ht="14.25" customHeight="1" s="314"/>
    <row r="374" ht="14.25" customHeight="1" s="314"/>
    <row r="375" ht="14.25" customHeight="1" s="314"/>
    <row r="376" ht="14.25" customHeight="1" s="314"/>
    <row r="377" ht="14.25" customHeight="1" s="314"/>
    <row r="378" ht="14.25" customHeight="1" s="314"/>
    <row r="379" ht="14.25" customHeight="1" s="314"/>
    <row r="380" ht="14.25" customHeight="1" s="314"/>
    <row r="381" ht="14.25" customHeight="1" s="314"/>
    <row r="382" ht="14.25" customHeight="1" s="314"/>
    <row r="383" ht="14.25" customHeight="1" s="314"/>
    <row r="384" ht="14.25" customHeight="1" s="314"/>
    <row r="385" ht="14.25" customHeight="1" s="314"/>
    <row r="386" ht="14.25" customHeight="1" s="314"/>
    <row r="387" ht="14.25" customHeight="1" s="314"/>
    <row r="388" ht="14.25" customHeight="1" s="314"/>
    <row r="389" ht="14.25" customHeight="1" s="314"/>
    <row r="390" ht="14.25" customHeight="1" s="314"/>
    <row r="391" ht="14.25" customHeight="1" s="314"/>
    <row r="392" ht="14.25" customHeight="1" s="314"/>
    <row r="393" ht="14.25" customHeight="1" s="314"/>
    <row r="394" ht="14.25" customHeight="1" s="314"/>
    <row r="395" ht="14.25" customHeight="1" s="314"/>
    <row r="396" ht="14.25" customHeight="1" s="314"/>
    <row r="397" ht="14.25" customHeight="1" s="314"/>
    <row r="398" ht="14.25" customHeight="1" s="314"/>
    <row r="399" ht="14.25" customHeight="1" s="314"/>
    <row r="400" ht="14.25" customHeight="1" s="314"/>
    <row r="401" ht="14.25" customHeight="1" s="314"/>
    <row r="402" ht="14.25" customHeight="1" s="314"/>
    <row r="403" ht="14.25" customHeight="1" s="314"/>
    <row r="404" ht="14.25" customHeight="1" s="314"/>
    <row r="405" ht="14.25" customHeight="1" s="314"/>
    <row r="406" ht="14.25" customHeight="1" s="314"/>
    <row r="407" ht="14.25" customHeight="1" s="314"/>
    <row r="408" ht="14.25" customHeight="1" s="314"/>
    <row r="409" ht="14.25" customHeight="1" s="314"/>
    <row r="410" ht="14.25" customHeight="1" s="314"/>
    <row r="411" ht="14.25" customHeight="1" s="314"/>
    <row r="412" ht="14.25" customHeight="1" s="314"/>
    <row r="413" ht="14.25" customHeight="1" s="314"/>
    <row r="414" ht="14.25" customHeight="1" s="314"/>
    <row r="415" ht="14.25" customHeight="1" s="314"/>
    <row r="416" ht="14.25" customHeight="1" s="314"/>
    <row r="417" ht="14.25" customHeight="1" s="314"/>
    <row r="418" ht="14.25" customHeight="1" s="314"/>
    <row r="419" ht="14.25" customHeight="1" s="314"/>
    <row r="420" ht="14.25" customHeight="1" s="314"/>
    <row r="421" ht="14.25" customHeight="1" s="314"/>
    <row r="422" ht="14.25" customHeight="1" s="314"/>
    <row r="423" ht="14.25" customHeight="1" s="314"/>
    <row r="424" ht="14.25" customHeight="1" s="314"/>
    <row r="425" ht="14.25" customHeight="1" s="314"/>
    <row r="426" ht="14.25" customHeight="1" s="314"/>
    <row r="427" ht="14.25" customHeight="1" s="314"/>
    <row r="428" ht="14.25" customHeight="1" s="314"/>
    <row r="429" ht="14.25" customHeight="1" s="314"/>
    <row r="430" ht="14.25" customHeight="1" s="314"/>
    <row r="431" ht="14.25" customHeight="1" s="314"/>
    <row r="432" ht="14.25" customHeight="1" s="314"/>
    <row r="433" ht="14.25" customHeight="1" s="314"/>
    <row r="434" ht="14.25" customHeight="1" s="314"/>
    <row r="435" ht="14.25" customHeight="1" s="314"/>
    <row r="436" ht="14.25" customHeight="1" s="314"/>
    <row r="437" ht="14.25" customHeight="1" s="314"/>
    <row r="438" ht="14.25" customHeight="1" s="314"/>
    <row r="439" ht="14.25" customHeight="1" s="314"/>
    <row r="440" ht="14.25" customHeight="1" s="314"/>
    <row r="441" ht="14.25" customHeight="1" s="314"/>
    <row r="442" ht="14.25" customHeight="1" s="314"/>
    <row r="443" ht="14.25" customHeight="1" s="314"/>
    <row r="444" ht="14.25" customHeight="1" s="314"/>
    <row r="445" ht="14.25" customHeight="1" s="314"/>
    <row r="446" ht="14.25" customHeight="1" s="314"/>
    <row r="447" ht="14.25" customHeight="1" s="314"/>
    <row r="448" ht="14.25" customHeight="1" s="314"/>
    <row r="449" ht="14.25" customHeight="1" s="314"/>
    <row r="450" ht="14.25" customHeight="1" s="314"/>
    <row r="451" ht="14.25" customHeight="1" s="314"/>
    <row r="452" ht="14.25" customHeight="1" s="314"/>
    <row r="453" ht="14.25" customHeight="1" s="314"/>
    <row r="454" ht="14.25" customHeight="1" s="314"/>
    <row r="455" ht="14.25" customHeight="1" s="314"/>
    <row r="456" ht="14.25" customHeight="1" s="314"/>
    <row r="457" ht="14.25" customHeight="1" s="314"/>
    <row r="458" ht="14.25" customHeight="1" s="314"/>
    <row r="459" ht="14.25" customHeight="1" s="314"/>
    <row r="460" ht="14.25" customHeight="1" s="314"/>
    <row r="461" ht="14.25" customHeight="1" s="314"/>
    <row r="462" ht="14.25" customHeight="1" s="314"/>
    <row r="463" ht="14.25" customHeight="1" s="314"/>
    <row r="464" ht="14.25" customHeight="1" s="314"/>
    <row r="465" ht="14.25" customHeight="1" s="314"/>
    <row r="466" ht="14.25" customHeight="1" s="314"/>
    <row r="467" ht="14.25" customHeight="1" s="314"/>
    <row r="468" ht="14.25" customHeight="1" s="314"/>
    <row r="469" ht="14.25" customHeight="1" s="314"/>
    <row r="470" ht="14.25" customHeight="1" s="314"/>
    <row r="471" ht="14.25" customHeight="1" s="314"/>
    <row r="472" ht="14.25" customHeight="1" s="314"/>
    <row r="473" ht="14.25" customHeight="1" s="314"/>
    <row r="474" ht="14.25" customHeight="1" s="314"/>
    <row r="475" ht="14.25" customHeight="1" s="314"/>
    <row r="476" ht="14.25" customHeight="1" s="314"/>
    <row r="477" ht="14.25" customHeight="1" s="314"/>
    <row r="478" ht="14.25" customHeight="1" s="314"/>
    <row r="479" ht="14.25" customHeight="1" s="314"/>
    <row r="480" ht="14.25" customHeight="1" s="314"/>
    <row r="481" ht="14.25" customHeight="1" s="314"/>
    <row r="482" ht="14.25" customHeight="1" s="314"/>
    <row r="483" ht="14.25" customHeight="1" s="314"/>
    <row r="484" ht="14.25" customHeight="1" s="314"/>
    <row r="485" ht="14.25" customHeight="1" s="314"/>
    <row r="486" ht="14.25" customHeight="1" s="314"/>
    <row r="487" ht="14.25" customHeight="1" s="314"/>
    <row r="488" ht="14.25" customHeight="1" s="314"/>
    <row r="489" ht="14.25" customHeight="1" s="314"/>
    <row r="490" ht="14.25" customHeight="1" s="314"/>
    <row r="491" ht="14.25" customHeight="1" s="314"/>
    <row r="492" ht="14.25" customHeight="1" s="314"/>
    <row r="493" ht="14.25" customHeight="1" s="314"/>
    <row r="494" ht="14.25" customHeight="1" s="314"/>
    <row r="495" ht="14.25" customHeight="1" s="314"/>
    <row r="496" ht="14.25" customHeight="1" s="314"/>
    <row r="497" ht="14.25" customHeight="1" s="314"/>
    <row r="498" ht="14.25" customHeight="1" s="314"/>
    <row r="499" ht="14.25" customHeight="1" s="314"/>
    <row r="500" ht="14.25" customHeight="1" s="314"/>
    <row r="501" ht="14.25" customHeight="1" s="314"/>
    <row r="502" ht="14.25" customHeight="1" s="314"/>
    <row r="503" ht="14.25" customHeight="1" s="314"/>
    <row r="504" ht="14.25" customHeight="1" s="314"/>
    <row r="505" ht="14.25" customHeight="1" s="314"/>
    <row r="506" ht="14.25" customHeight="1" s="314"/>
    <row r="507" ht="14.25" customHeight="1" s="314"/>
    <row r="508" ht="14.25" customHeight="1" s="314"/>
    <row r="509" ht="14.25" customHeight="1" s="314"/>
    <row r="510" ht="14.25" customHeight="1" s="314"/>
    <row r="511" ht="14.25" customHeight="1" s="314"/>
    <row r="512" ht="14.25" customHeight="1" s="314"/>
    <row r="513" ht="14.25" customHeight="1" s="314"/>
    <row r="514" ht="14.25" customHeight="1" s="314"/>
    <row r="515" ht="14.25" customHeight="1" s="314"/>
    <row r="516" ht="14.25" customHeight="1" s="314"/>
    <row r="517" ht="14.25" customHeight="1" s="314"/>
    <row r="518" ht="14.25" customHeight="1" s="314"/>
    <row r="519" ht="14.25" customHeight="1" s="314"/>
    <row r="520" ht="14.25" customHeight="1" s="314"/>
    <row r="521" ht="14.25" customHeight="1" s="314"/>
    <row r="522" ht="14.25" customHeight="1" s="314"/>
    <row r="523" ht="14.25" customHeight="1" s="314"/>
    <row r="524" ht="14.25" customHeight="1" s="314"/>
    <row r="525" ht="14.25" customHeight="1" s="314"/>
    <row r="526" ht="14.25" customHeight="1" s="314"/>
    <row r="527" ht="14.25" customHeight="1" s="314"/>
    <row r="528" ht="14.25" customHeight="1" s="314"/>
    <row r="529" ht="14.25" customHeight="1" s="314"/>
    <row r="530" ht="14.25" customHeight="1" s="314"/>
    <row r="531" ht="14.25" customHeight="1" s="314"/>
    <row r="532" ht="14.25" customHeight="1" s="314"/>
    <row r="533" ht="14.25" customHeight="1" s="314"/>
    <row r="534" ht="14.25" customHeight="1" s="314"/>
    <row r="535" ht="14.25" customHeight="1" s="314"/>
    <row r="536" ht="14.25" customHeight="1" s="314"/>
    <row r="537" ht="14.25" customHeight="1" s="314"/>
    <row r="538" ht="14.25" customHeight="1" s="314"/>
    <row r="539" ht="14.25" customHeight="1" s="314"/>
    <row r="540" ht="14.25" customHeight="1" s="314"/>
    <row r="541" ht="14.25" customHeight="1" s="314"/>
    <row r="542" ht="14.25" customHeight="1" s="314"/>
    <row r="543" ht="14.25" customHeight="1" s="314"/>
    <row r="544" ht="14.25" customHeight="1" s="314"/>
    <row r="545" ht="14.25" customHeight="1" s="314"/>
    <row r="546" ht="14.25" customHeight="1" s="314"/>
    <row r="547" ht="14.25" customHeight="1" s="314"/>
    <row r="548" ht="14.25" customHeight="1" s="314"/>
    <row r="549" ht="14.25" customHeight="1" s="314"/>
    <row r="550" ht="14.25" customHeight="1" s="314"/>
    <row r="551" ht="14.25" customHeight="1" s="314"/>
    <row r="552" ht="14.25" customHeight="1" s="314"/>
    <row r="553" ht="14.25" customHeight="1" s="314"/>
    <row r="554" ht="14.25" customHeight="1" s="314"/>
    <row r="555" ht="14.25" customHeight="1" s="314"/>
    <row r="556" ht="14.25" customHeight="1" s="314"/>
    <row r="557" ht="14.25" customHeight="1" s="314"/>
    <row r="558" ht="14.25" customHeight="1" s="314"/>
    <row r="559" ht="14.25" customHeight="1" s="314"/>
    <row r="560" ht="14.25" customHeight="1" s="314"/>
    <row r="561" ht="14.25" customHeight="1" s="314"/>
    <row r="562" ht="14.25" customHeight="1" s="314"/>
    <row r="563" ht="14.25" customHeight="1" s="314"/>
    <row r="564" ht="14.25" customHeight="1" s="314"/>
    <row r="565" ht="14.25" customHeight="1" s="314"/>
    <row r="566" ht="14.25" customHeight="1" s="314"/>
    <row r="567" ht="14.25" customHeight="1" s="314"/>
    <row r="568" ht="14.25" customHeight="1" s="314"/>
    <row r="569" ht="14.25" customHeight="1" s="314"/>
    <row r="570" ht="14.25" customHeight="1" s="314"/>
    <row r="571" ht="14.25" customHeight="1" s="314"/>
    <row r="572" ht="14.25" customHeight="1" s="314"/>
    <row r="573" ht="14.25" customHeight="1" s="314"/>
    <row r="574" ht="14.25" customHeight="1" s="314"/>
    <row r="575" ht="14.25" customHeight="1" s="314"/>
    <row r="576" ht="14.25" customHeight="1" s="314"/>
    <row r="577" ht="14.25" customHeight="1" s="314"/>
    <row r="578" ht="14.25" customHeight="1" s="314"/>
    <row r="579" ht="14.25" customHeight="1" s="314"/>
    <row r="580" ht="14.25" customHeight="1" s="314"/>
    <row r="581" ht="14.25" customHeight="1" s="314"/>
    <row r="582" ht="14.25" customHeight="1" s="314"/>
    <row r="583" ht="14.25" customHeight="1" s="314"/>
    <row r="584" ht="14.25" customHeight="1" s="314"/>
    <row r="585" ht="14.25" customHeight="1" s="314"/>
    <row r="586" ht="14.25" customHeight="1" s="314"/>
    <row r="587" ht="14.25" customHeight="1" s="314"/>
    <row r="588" ht="14.25" customHeight="1" s="314"/>
    <row r="589" ht="14.25" customHeight="1" s="314"/>
    <row r="590" ht="14.25" customHeight="1" s="314"/>
    <row r="591" ht="14.25" customHeight="1" s="314"/>
    <row r="592" ht="14.25" customHeight="1" s="314"/>
    <row r="593" ht="14.25" customHeight="1" s="314"/>
    <row r="594" ht="14.25" customHeight="1" s="314"/>
    <row r="595" ht="14.25" customHeight="1" s="314"/>
    <row r="596" ht="14.25" customHeight="1" s="314"/>
    <row r="597" ht="14.25" customHeight="1" s="314"/>
    <row r="598" ht="14.25" customHeight="1" s="314"/>
    <row r="599" ht="14.25" customHeight="1" s="314"/>
    <row r="600" ht="14.25" customHeight="1" s="314"/>
    <row r="601" ht="14.25" customHeight="1" s="314"/>
    <row r="602" ht="14.25" customHeight="1" s="314"/>
    <row r="603" ht="14.25" customHeight="1" s="314"/>
    <row r="604" ht="14.25" customHeight="1" s="314"/>
    <row r="605" ht="14.25" customHeight="1" s="314"/>
    <row r="606" ht="14.25" customHeight="1" s="314"/>
    <row r="607" ht="14.25" customHeight="1" s="314"/>
    <row r="608" ht="14.25" customHeight="1" s="314"/>
    <row r="609" ht="14.25" customHeight="1" s="314"/>
    <row r="610" ht="14.25" customHeight="1" s="314"/>
    <row r="611" ht="14.25" customHeight="1" s="314"/>
    <row r="612" ht="14.25" customHeight="1" s="314"/>
    <row r="613" ht="14.25" customHeight="1" s="314"/>
    <row r="614" ht="14.25" customHeight="1" s="314"/>
    <row r="615" ht="14.25" customHeight="1" s="314"/>
    <row r="616" ht="14.25" customHeight="1" s="314"/>
    <row r="617" ht="14.25" customHeight="1" s="314"/>
    <row r="618" ht="14.25" customHeight="1" s="314"/>
    <row r="619" ht="14.25" customHeight="1" s="314"/>
    <row r="620" ht="14.25" customHeight="1" s="314"/>
    <row r="621" ht="14.25" customHeight="1" s="314"/>
    <row r="622" ht="14.25" customHeight="1" s="314"/>
    <row r="623" ht="14.25" customHeight="1" s="314"/>
    <row r="624" ht="14.25" customHeight="1" s="314"/>
    <row r="625" ht="14.25" customHeight="1" s="314"/>
    <row r="626" ht="14.25" customHeight="1" s="314"/>
    <row r="627" ht="14.25" customHeight="1" s="314"/>
    <row r="628" ht="14.25" customHeight="1" s="314"/>
    <row r="629" ht="14.25" customHeight="1" s="314"/>
    <row r="630" ht="14.25" customHeight="1" s="314"/>
    <row r="631" ht="14.25" customHeight="1" s="314"/>
    <row r="632" ht="14.25" customHeight="1" s="314"/>
    <row r="633" ht="14.25" customHeight="1" s="314"/>
    <row r="634" ht="14.25" customHeight="1" s="314"/>
    <row r="635" ht="14.25" customHeight="1" s="314"/>
    <row r="636" ht="14.25" customHeight="1" s="314"/>
    <row r="637" ht="14.25" customHeight="1" s="314"/>
    <row r="638" ht="14.25" customHeight="1" s="314"/>
    <row r="639" ht="14.25" customHeight="1" s="314"/>
    <row r="640" ht="14.25" customHeight="1" s="314"/>
    <row r="641" ht="14.25" customHeight="1" s="314"/>
    <row r="642" ht="14.25" customHeight="1" s="314"/>
    <row r="643" ht="14.25" customHeight="1" s="314"/>
    <row r="644" ht="14.25" customHeight="1" s="314"/>
    <row r="645" ht="14.25" customHeight="1" s="314"/>
    <row r="646" ht="14.25" customHeight="1" s="314"/>
    <row r="647" ht="14.25" customHeight="1" s="314"/>
    <row r="648" ht="14.25" customHeight="1" s="314"/>
    <row r="649" ht="14.25" customHeight="1" s="314"/>
    <row r="650" ht="14.25" customHeight="1" s="314"/>
    <row r="651" ht="14.25" customHeight="1" s="314"/>
    <row r="652" ht="14.25" customHeight="1" s="314"/>
    <row r="653" ht="14.25" customHeight="1" s="314"/>
    <row r="654" ht="14.25" customHeight="1" s="314"/>
    <row r="655" ht="14.25" customHeight="1" s="314"/>
    <row r="656" ht="14.25" customHeight="1" s="314"/>
    <row r="657" ht="14.25" customHeight="1" s="314"/>
    <row r="658" ht="14.25" customHeight="1" s="314"/>
    <row r="659" ht="14.25" customHeight="1" s="314"/>
    <row r="660" ht="14.25" customHeight="1" s="314"/>
    <row r="661" ht="14.25" customHeight="1" s="314"/>
    <row r="662" ht="14.25" customHeight="1" s="314"/>
    <row r="663" ht="14.25" customHeight="1" s="314"/>
    <row r="664" ht="14.25" customHeight="1" s="314"/>
    <row r="665" ht="14.25" customHeight="1" s="314"/>
    <row r="666" ht="14.25" customHeight="1" s="314"/>
    <row r="667" ht="14.25" customHeight="1" s="314"/>
    <row r="668" ht="14.25" customHeight="1" s="314"/>
    <row r="669" ht="14.25" customHeight="1" s="314"/>
    <row r="670" ht="14.25" customHeight="1" s="314"/>
    <row r="671" ht="14.25" customHeight="1" s="314"/>
    <row r="672" ht="14.25" customHeight="1" s="314"/>
    <row r="673" ht="14.25" customHeight="1" s="314"/>
    <row r="674" ht="14.25" customHeight="1" s="314"/>
    <row r="675" ht="14.25" customHeight="1" s="314"/>
    <row r="676" ht="14.25" customHeight="1" s="314"/>
    <row r="677" ht="14.25" customHeight="1" s="314"/>
    <row r="678" ht="14.25" customHeight="1" s="314"/>
    <row r="679" ht="14.25" customHeight="1" s="314"/>
    <row r="680" ht="14.25" customHeight="1" s="314"/>
    <row r="681" ht="14.25" customHeight="1" s="314"/>
    <row r="682" ht="14.25" customHeight="1" s="314"/>
    <row r="683" ht="14.25" customHeight="1" s="314"/>
    <row r="684" ht="14.25" customHeight="1" s="314"/>
    <row r="685" ht="14.25" customHeight="1" s="314"/>
    <row r="686" ht="14.25" customHeight="1" s="314"/>
    <row r="687" ht="14.25" customHeight="1" s="314"/>
    <row r="688" ht="14.25" customHeight="1" s="314"/>
    <row r="689" ht="14.25" customHeight="1" s="314"/>
    <row r="690" ht="14.25" customHeight="1" s="314"/>
    <row r="691" ht="14.25" customHeight="1" s="314"/>
    <row r="692" ht="14.25" customHeight="1" s="314"/>
    <row r="693" ht="14.25" customHeight="1" s="314"/>
    <row r="694" ht="14.25" customHeight="1" s="314"/>
    <row r="695" ht="14.25" customHeight="1" s="314"/>
    <row r="696" ht="14.25" customHeight="1" s="314"/>
    <row r="697" ht="14.25" customHeight="1" s="314"/>
    <row r="698" ht="14.25" customHeight="1" s="314"/>
    <row r="699" ht="14.25" customHeight="1" s="314"/>
    <row r="700" ht="14.25" customHeight="1" s="314"/>
    <row r="701" ht="14.25" customHeight="1" s="314"/>
    <row r="702" ht="14.25" customHeight="1" s="314"/>
    <row r="703" ht="14.25" customHeight="1" s="314"/>
    <row r="704" ht="14.25" customHeight="1" s="314"/>
    <row r="705" ht="14.25" customHeight="1" s="314"/>
    <row r="706" ht="14.25" customHeight="1" s="314"/>
    <row r="707" ht="14.25" customHeight="1" s="314"/>
    <row r="708" ht="14.25" customHeight="1" s="314"/>
    <row r="709" ht="14.25" customHeight="1" s="314"/>
    <row r="710" ht="14.25" customHeight="1" s="314"/>
    <row r="711" ht="14.25" customHeight="1" s="314"/>
    <row r="712" ht="14.25" customHeight="1" s="314"/>
    <row r="713" ht="14.25" customHeight="1" s="314"/>
    <row r="714" ht="14.25" customHeight="1" s="314"/>
    <row r="715" ht="14.25" customHeight="1" s="314"/>
    <row r="716" ht="14.25" customHeight="1" s="314"/>
    <row r="717" ht="14.25" customHeight="1" s="314"/>
    <row r="718" ht="14.25" customHeight="1" s="314"/>
    <row r="719" ht="14.25" customHeight="1" s="314"/>
    <row r="720" ht="14.25" customHeight="1" s="314"/>
    <row r="721" ht="14.25" customHeight="1" s="314"/>
    <row r="722" ht="14.25" customHeight="1" s="314"/>
    <row r="723" ht="14.25" customHeight="1" s="314"/>
    <row r="724" ht="14.25" customHeight="1" s="314"/>
    <row r="725" ht="14.25" customHeight="1" s="314"/>
    <row r="726" ht="14.25" customHeight="1" s="314"/>
    <row r="727" ht="14.25" customHeight="1" s="314"/>
    <row r="728" ht="14.25" customHeight="1" s="314"/>
    <row r="729" ht="14.25" customHeight="1" s="314"/>
    <row r="730" ht="14.25" customHeight="1" s="314"/>
    <row r="731" ht="14.25" customHeight="1" s="314"/>
    <row r="732" ht="14.25" customHeight="1" s="314"/>
    <row r="733" ht="14.25" customHeight="1" s="314"/>
    <row r="734" ht="14.25" customHeight="1" s="314"/>
    <row r="735" ht="14.25" customHeight="1" s="314"/>
    <row r="736" ht="14.25" customHeight="1" s="314"/>
    <row r="737" ht="14.25" customHeight="1" s="314"/>
    <row r="738" ht="14.25" customHeight="1" s="314"/>
    <row r="739" ht="14.25" customHeight="1" s="314"/>
    <row r="740" ht="14.25" customHeight="1" s="314"/>
    <row r="741" ht="14.25" customHeight="1" s="314"/>
    <row r="742" ht="14.25" customHeight="1" s="314"/>
    <row r="743" ht="14.25" customHeight="1" s="314"/>
    <row r="744" ht="14.25" customHeight="1" s="314"/>
    <row r="745" ht="14.25" customHeight="1" s="314"/>
    <row r="746" ht="14.25" customHeight="1" s="314"/>
    <row r="747" ht="14.25" customHeight="1" s="314"/>
    <row r="748" ht="14.25" customHeight="1" s="314"/>
    <row r="749" ht="14.25" customHeight="1" s="314"/>
    <row r="750" ht="14.25" customHeight="1" s="314"/>
    <row r="751" ht="14.25" customHeight="1" s="314"/>
    <row r="752" ht="14.25" customHeight="1" s="314"/>
    <row r="753" ht="14.25" customHeight="1" s="314"/>
    <row r="754" ht="14.25" customHeight="1" s="314"/>
    <row r="755" ht="14.25" customHeight="1" s="314"/>
    <row r="756" ht="14.25" customHeight="1" s="314"/>
    <row r="757" ht="14.25" customHeight="1" s="314"/>
    <row r="758" ht="14.25" customHeight="1" s="314"/>
    <row r="759" ht="14.25" customHeight="1" s="314"/>
    <row r="760" ht="14.25" customHeight="1" s="314"/>
    <row r="761" ht="14.25" customHeight="1" s="314"/>
    <row r="762" ht="14.25" customHeight="1" s="314"/>
    <row r="763" ht="14.25" customHeight="1" s="314"/>
    <row r="764" ht="14.25" customHeight="1" s="314"/>
    <row r="765" ht="14.25" customHeight="1" s="314"/>
    <row r="766" ht="14.25" customHeight="1" s="314"/>
    <row r="767" ht="14.25" customHeight="1" s="314"/>
    <row r="768" ht="14.25" customHeight="1" s="314"/>
    <row r="769" ht="14.25" customHeight="1" s="314"/>
    <row r="770" ht="14.25" customHeight="1" s="314"/>
    <row r="771" ht="14.25" customHeight="1" s="314"/>
    <row r="772" ht="14.25" customHeight="1" s="314"/>
    <row r="773" ht="14.25" customHeight="1" s="314"/>
    <row r="774" ht="14.25" customHeight="1" s="314"/>
    <row r="775" ht="14.25" customHeight="1" s="314"/>
    <row r="776" ht="14.25" customHeight="1" s="314"/>
    <row r="777" ht="14.25" customHeight="1" s="314"/>
    <row r="778" ht="14.25" customHeight="1" s="314"/>
    <row r="779" ht="14.25" customHeight="1" s="314"/>
    <row r="780" ht="14.25" customHeight="1" s="314"/>
    <row r="781" ht="14.25" customHeight="1" s="314"/>
    <row r="782" ht="14.25" customHeight="1" s="314"/>
    <row r="783" ht="14.25" customHeight="1" s="314"/>
    <row r="784" ht="14.25" customHeight="1" s="314"/>
    <row r="785" ht="14.25" customHeight="1" s="314"/>
    <row r="786" ht="14.25" customHeight="1" s="314"/>
    <row r="787" ht="14.25" customHeight="1" s="314"/>
    <row r="788" ht="14.25" customHeight="1" s="314"/>
    <row r="789" ht="14.25" customHeight="1" s="314"/>
    <row r="790" ht="14.25" customHeight="1" s="314"/>
    <row r="791" ht="14.25" customHeight="1" s="314"/>
    <row r="792" ht="14.25" customHeight="1" s="314"/>
    <row r="793" ht="14.25" customHeight="1" s="314"/>
    <row r="794" ht="14.25" customHeight="1" s="314"/>
    <row r="795" ht="14.25" customHeight="1" s="314"/>
    <row r="796" ht="14.25" customHeight="1" s="314"/>
    <row r="797" ht="14.25" customHeight="1" s="314"/>
    <row r="798" ht="14.25" customHeight="1" s="314"/>
    <row r="799" ht="14.25" customHeight="1" s="314"/>
    <row r="800" ht="14.25" customHeight="1" s="314"/>
    <row r="801" ht="14.25" customHeight="1" s="314"/>
    <row r="802" ht="14.25" customHeight="1" s="314"/>
    <row r="803" ht="14.25" customHeight="1" s="314"/>
    <row r="804" ht="14.25" customHeight="1" s="314"/>
    <row r="805" ht="14.25" customHeight="1" s="314"/>
    <row r="806" ht="14.25" customHeight="1" s="314"/>
    <row r="807" ht="14.25" customHeight="1" s="314"/>
    <row r="808" ht="14.25" customHeight="1" s="314"/>
    <row r="809" ht="14.25" customHeight="1" s="314"/>
    <row r="810" ht="14.25" customHeight="1" s="314"/>
    <row r="811" ht="14.25" customHeight="1" s="314"/>
    <row r="812" ht="14.25" customHeight="1" s="314"/>
    <row r="813" ht="14.25" customHeight="1" s="314"/>
    <row r="814" ht="14.25" customHeight="1" s="314"/>
    <row r="815" ht="14.25" customHeight="1" s="314"/>
    <row r="816" ht="14.25" customHeight="1" s="314"/>
    <row r="817" ht="14.25" customHeight="1" s="314"/>
    <row r="818" ht="14.25" customHeight="1" s="314"/>
    <row r="819" ht="14.25" customHeight="1" s="314"/>
    <row r="820" ht="14.25" customHeight="1" s="314"/>
    <row r="821" ht="14.25" customHeight="1" s="314"/>
    <row r="822" ht="14.25" customHeight="1" s="314"/>
    <row r="823" ht="14.25" customHeight="1" s="314"/>
    <row r="824" ht="14.25" customHeight="1" s="314"/>
    <row r="825" ht="14.25" customHeight="1" s="314"/>
    <row r="826" ht="14.25" customHeight="1" s="314"/>
    <row r="827" ht="14.25" customHeight="1" s="314"/>
    <row r="828" ht="14.25" customHeight="1" s="314"/>
    <row r="829" ht="14.25" customHeight="1" s="314"/>
    <row r="830" ht="14.25" customHeight="1" s="314"/>
    <row r="831" ht="14.25" customHeight="1" s="314"/>
    <row r="832" ht="14.25" customHeight="1" s="314"/>
    <row r="833" ht="14.25" customHeight="1" s="314"/>
    <row r="834" ht="14.25" customHeight="1" s="314"/>
    <row r="835" ht="14.25" customHeight="1" s="314"/>
    <row r="836" ht="14.25" customHeight="1" s="314"/>
    <row r="837" ht="14.25" customHeight="1" s="314"/>
    <row r="838" ht="14.25" customHeight="1" s="314"/>
    <row r="839" ht="14.25" customHeight="1" s="314"/>
    <row r="840" ht="14.25" customHeight="1" s="314"/>
    <row r="841" ht="14.25" customHeight="1" s="314"/>
    <row r="842" ht="14.25" customHeight="1" s="314"/>
    <row r="843" ht="14.25" customHeight="1" s="314"/>
    <row r="844" ht="14.25" customHeight="1" s="314"/>
    <row r="845" ht="14.25" customHeight="1" s="314"/>
    <row r="846" ht="14.25" customHeight="1" s="314"/>
    <row r="847" ht="14.25" customHeight="1" s="314"/>
    <row r="848" ht="14.25" customHeight="1" s="314"/>
    <row r="849" ht="14.25" customHeight="1" s="314"/>
    <row r="850" ht="14.25" customHeight="1" s="314"/>
    <row r="851" ht="14.25" customHeight="1" s="314"/>
    <row r="852" ht="14.25" customHeight="1" s="314"/>
    <row r="853" ht="14.25" customHeight="1" s="314"/>
    <row r="854" ht="14.25" customHeight="1" s="314"/>
    <row r="855" ht="14.25" customHeight="1" s="314"/>
    <row r="856" ht="14.25" customHeight="1" s="314"/>
    <row r="857" ht="14.25" customHeight="1" s="314"/>
    <row r="858" ht="14.25" customHeight="1" s="314"/>
    <row r="859" ht="14.25" customHeight="1" s="314"/>
    <row r="860" ht="14.25" customHeight="1" s="314"/>
    <row r="861" ht="14.25" customHeight="1" s="314"/>
    <row r="862" ht="14.25" customHeight="1" s="314"/>
    <row r="863" ht="14.25" customHeight="1" s="314"/>
    <row r="864" ht="14.25" customHeight="1" s="314"/>
    <row r="865" ht="14.25" customHeight="1" s="314"/>
    <row r="866" ht="14.25" customHeight="1" s="314"/>
    <row r="867" ht="14.25" customHeight="1" s="314"/>
    <row r="868" ht="14.25" customHeight="1" s="314"/>
    <row r="869" ht="14.25" customHeight="1" s="314"/>
    <row r="870" ht="14.25" customHeight="1" s="314"/>
    <row r="871" ht="14.25" customHeight="1" s="314"/>
    <row r="872" ht="14.25" customHeight="1" s="314"/>
    <row r="873" ht="14.25" customHeight="1" s="314"/>
    <row r="874" ht="14.25" customHeight="1" s="314"/>
    <row r="875" ht="14.25" customHeight="1" s="314"/>
    <row r="876" ht="14.25" customHeight="1" s="314"/>
    <row r="877" ht="14.25" customHeight="1" s="314"/>
    <row r="878" ht="14.25" customHeight="1" s="314"/>
    <row r="879" ht="14.25" customHeight="1" s="314"/>
    <row r="880" ht="14.25" customHeight="1" s="314"/>
    <row r="881" ht="14.25" customHeight="1" s="314"/>
    <row r="882" ht="14.25" customHeight="1" s="314"/>
    <row r="883" ht="14.25" customHeight="1" s="314"/>
    <row r="884" ht="14.25" customHeight="1" s="314"/>
    <row r="885" ht="14.25" customHeight="1" s="314"/>
    <row r="886" ht="14.25" customHeight="1" s="314"/>
    <row r="887" ht="14.25" customHeight="1" s="314"/>
    <row r="888" ht="14.25" customHeight="1" s="314"/>
    <row r="889" ht="14.25" customHeight="1" s="314"/>
    <row r="890" ht="14.25" customHeight="1" s="314"/>
    <row r="891" ht="14.25" customHeight="1" s="314"/>
    <row r="892" ht="14.25" customHeight="1" s="314"/>
    <row r="893" ht="14.25" customHeight="1" s="314"/>
    <row r="894" ht="14.25" customHeight="1" s="314"/>
    <row r="895" ht="14.25" customHeight="1" s="314"/>
    <row r="896" ht="14.25" customHeight="1" s="314"/>
    <row r="897" ht="14.25" customHeight="1" s="314"/>
    <row r="898" ht="14.25" customHeight="1" s="314"/>
    <row r="899" ht="14.25" customHeight="1" s="314"/>
    <row r="900" ht="14.25" customHeight="1" s="314"/>
    <row r="901" ht="14.25" customHeight="1" s="314"/>
    <row r="902" ht="14.25" customHeight="1" s="314"/>
    <row r="903" ht="14.25" customHeight="1" s="314"/>
    <row r="904" ht="14.25" customHeight="1" s="314"/>
    <row r="905" ht="14.25" customHeight="1" s="314"/>
    <row r="906" ht="14.25" customHeight="1" s="314"/>
    <row r="907" ht="14.25" customHeight="1" s="314"/>
    <row r="908" ht="14.25" customHeight="1" s="314"/>
    <row r="909" ht="14.25" customHeight="1" s="314"/>
    <row r="910" ht="14.25" customHeight="1" s="314"/>
    <row r="911" ht="14.25" customHeight="1" s="314"/>
    <row r="912" ht="14.25" customHeight="1" s="314"/>
    <row r="913" ht="14.25" customHeight="1" s="314"/>
    <row r="914" ht="14.25" customHeight="1" s="314"/>
    <row r="915" ht="14.25" customHeight="1" s="314"/>
    <row r="916" ht="14.25" customHeight="1" s="314"/>
    <row r="917" ht="14.25" customHeight="1" s="314"/>
    <row r="918" ht="14.25" customHeight="1" s="314"/>
    <row r="919" ht="14.25" customHeight="1" s="314"/>
    <row r="920" ht="14.25" customHeight="1" s="314"/>
    <row r="921" ht="14.25" customHeight="1" s="314"/>
    <row r="922" ht="14.25" customHeight="1" s="314"/>
    <row r="923" ht="14.25" customHeight="1" s="314"/>
    <row r="924" ht="14.25" customHeight="1" s="314"/>
    <row r="925" ht="14.25" customHeight="1" s="314"/>
    <row r="926" ht="14.25" customHeight="1" s="314"/>
    <row r="927" ht="14.25" customHeight="1" s="314"/>
    <row r="928" ht="14.25" customHeight="1" s="314"/>
    <row r="929" ht="14.25" customHeight="1" s="314"/>
    <row r="930" ht="14.25" customHeight="1" s="314"/>
    <row r="931" ht="14.25" customHeight="1" s="314"/>
    <row r="932" ht="14.25" customHeight="1" s="314"/>
    <row r="933" ht="14.25" customHeight="1" s="314"/>
    <row r="934" ht="14.25" customHeight="1" s="314"/>
    <row r="935" ht="14.25" customHeight="1" s="314"/>
    <row r="936" ht="14.25" customHeight="1" s="314"/>
    <row r="937" ht="14.25" customHeight="1" s="314"/>
    <row r="938" ht="14.25" customHeight="1" s="314"/>
    <row r="939" ht="14.25" customHeight="1" s="314"/>
    <row r="940" ht="14.25" customHeight="1" s="314"/>
    <row r="941" ht="14.25" customHeight="1" s="314"/>
    <row r="942" ht="14.25" customHeight="1" s="314"/>
    <row r="943" ht="14.25" customHeight="1" s="314"/>
    <row r="944" ht="14.25" customHeight="1" s="314"/>
    <row r="945" ht="14.25" customHeight="1" s="314"/>
    <row r="946" ht="14.25" customHeight="1" s="314"/>
    <row r="947" ht="14.25" customHeight="1" s="314"/>
    <row r="948" ht="14.25" customHeight="1" s="314"/>
    <row r="949" ht="14.25" customHeight="1" s="314"/>
    <row r="950" ht="14.25" customHeight="1" s="314"/>
    <row r="951" ht="14.25" customHeight="1" s="314"/>
    <row r="952" ht="14.25" customHeight="1" s="314"/>
    <row r="953" ht="14.25" customHeight="1" s="314"/>
    <row r="954" ht="14.25" customHeight="1" s="314"/>
    <row r="955" ht="14.25" customHeight="1" s="314"/>
    <row r="956" ht="14.25" customHeight="1" s="314"/>
    <row r="957" ht="14.25" customHeight="1" s="314"/>
    <row r="958" ht="14.25" customHeight="1" s="314"/>
    <row r="959" ht="14.25" customHeight="1" s="314"/>
    <row r="960" ht="14.25" customHeight="1" s="314"/>
    <row r="961" ht="14.25" customHeight="1" s="314"/>
    <row r="962" ht="14.25" customHeight="1" s="314"/>
    <row r="963" ht="14.25" customHeight="1" s="314"/>
    <row r="964" ht="14.25" customHeight="1" s="314"/>
    <row r="965" ht="14.25" customHeight="1" s="314"/>
    <row r="966" ht="14.25" customHeight="1" s="314"/>
    <row r="967" ht="14.25" customHeight="1" s="314"/>
    <row r="968" ht="14.25" customHeight="1" s="314"/>
    <row r="969" ht="14.25" customHeight="1" s="314"/>
    <row r="970" ht="14.25" customHeight="1" s="314"/>
    <row r="971" ht="14.25" customHeight="1" s="314"/>
    <row r="972" ht="14.25" customHeight="1" s="314"/>
    <row r="973" ht="14.25" customHeight="1" s="314"/>
    <row r="974" ht="14.25" customHeight="1" s="314"/>
    <row r="975" ht="14.25" customHeight="1" s="314"/>
    <row r="976" ht="14.25" customHeight="1" s="314"/>
    <row r="977" ht="14.25" customHeight="1" s="314"/>
    <row r="978" ht="14.25" customHeight="1" s="314"/>
    <row r="979" ht="14.25" customHeight="1" s="314"/>
    <row r="980" ht="14.25" customHeight="1" s="314"/>
    <row r="981" ht="14.25" customHeight="1" s="314"/>
    <row r="982" ht="14.25" customHeight="1" s="314"/>
    <row r="983" ht="14.25" customHeight="1" s="314"/>
    <row r="984" ht="14.25" customHeight="1" s="314"/>
    <row r="985" ht="14.25" customHeight="1" s="314"/>
    <row r="986" ht="14.25" customHeight="1" s="314"/>
    <row r="987" ht="14.25" customHeight="1" s="314"/>
    <row r="988" ht="14.25" customHeight="1" s="314"/>
    <row r="989" ht="14.25" customHeight="1" s="314"/>
    <row r="990" ht="14.25" customHeight="1" s="314"/>
    <row r="991" ht="14.25" customHeight="1" s="314"/>
    <row r="992" ht="14.25" customHeight="1" s="314"/>
    <row r="993" ht="14.25" customHeight="1" s="314"/>
    <row r="994" ht="14.25" customHeight="1" s="314"/>
    <row r="995" ht="14.25" customHeight="1" s="314"/>
    <row r="996" ht="14.25" customHeight="1" s="314"/>
    <row r="997" ht="14.25" customHeight="1" s="314"/>
    <row r="998" ht="14.25" customHeight="1" s="314"/>
    <row r="999" ht="14.25" customHeight="1" s="314"/>
    <row r="1000" ht="14.25" customHeight="1" s="314"/>
  </sheetData>
  <mergeCells count="7">
    <mergeCell ref="AI3:AJ3"/>
    <mergeCell ref="M3:O3"/>
    <mergeCell ref="AE3:AG3"/>
    <mergeCell ref="E3:G3"/>
    <mergeCell ref="H3:J3"/>
    <mergeCell ref="T3:U3"/>
    <mergeCell ref="AB3:AC3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35.5" customWidth="1" style="314" min="1" max="1"/>
    <col width="37.5" customWidth="1" style="314" min="2" max="2"/>
    <col width="19.5" customWidth="1" style="314" min="3" max="3"/>
    <col width="35.1640625" customWidth="1" style="314" min="4" max="4"/>
    <col width="14.5" customWidth="1" style="314" min="5" max="5"/>
    <col width="4.5" customWidth="1" style="314" min="6" max="6"/>
    <col width="10.6640625" customWidth="1" style="314" min="7" max="10"/>
    <col width="4.5" customWidth="1" style="314" min="11" max="11"/>
    <col width="10.6640625" customWidth="1" style="314" min="12" max="26"/>
  </cols>
  <sheetData>
    <row r="1" ht="14.25" customHeight="1" s="314">
      <c r="A1" s="301" t="inlineStr">
        <is>
          <t>CLIENTE EXPENDIO</t>
        </is>
      </c>
      <c r="B1" s="301" t="inlineStr">
        <is>
          <t>CLIENTE - RAZON SOCIAL</t>
        </is>
      </c>
      <c r="C1" s="302" t="inlineStr">
        <is>
          <t>NIT</t>
        </is>
      </c>
      <c r="D1" s="303" t="inlineStr">
        <is>
          <t>DIRECCION</t>
        </is>
      </c>
      <c r="E1" s="301" t="inlineStr">
        <is>
          <t>TELEFONO</t>
        </is>
      </c>
      <c r="F1" s="301" t="n"/>
      <c r="G1" s="301" t="n"/>
      <c r="H1" s="301" t="n"/>
      <c r="I1" s="301" t="n"/>
      <c r="J1" s="301" t="n"/>
      <c r="K1" s="301" t="n"/>
      <c r="L1" s="301" t="n"/>
      <c r="M1" s="301" t="n"/>
      <c r="N1" s="301" t="n"/>
      <c r="O1" s="301" t="n"/>
      <c r="P1" s="301" t="n"/>
      <c r="Q1" s="301" t="n"/>
      <c r="R1" s="301" t="n"/>
      <c r="S1" s="301" t="n"/>
      <c r="T1" s="301" t="n"/>
      <c r="U1" s="301" t="n"/>
      <c r="V1" s="301" t="n"/>
      <c r="W1" s="301" t="n"/>
      <c r="X1" s="301" t="n"/>
      <c r="Y1" s="301" t="n"/>
      <c r="Z1" s="301" t="n"/>
    </row>
    <row r="2" ht="14.25" customHeight="1" s="314">
      <c r="A2" s="304" t="inlineStr">
        <is>
          <t>AP3 CARNES</t>
        </is>
      </c>
      <c r="B2" s="18" t="inlineStr">
        <is>
          <t>AP3 Carnes S.A</t>
        </is>
      </c>
      <c r="C2" s="20" t="inlineStr">
        <is>
          <t>900,262,893-9</t>
        </is>
      </c>
      <c r="D2" s="26" t="inlineStr">
        <is>
          <t>Cra 40 # 36 sur -30</t>
        </is>
      </c>
      <c r="E2" s="166" t="inlineStr">
        <is>
          <t>331 29 91</t>
        </is>
      </c>
    </row>
    <row r="3" ht="14.25" customHeight="1" s="314">
      <c r="A3" s="304" t="inlineStr">
        <is>
          <t>AGROPORTO</t>
        </is>
      </c>
      <c r="B3" s="18" t="inlineStr">
        <is>
          <t>AGROINDISTRIA OPORTO SAS</t>
        </is>
      </c>
      <c r="C3" s="305" t="inlineStr">
        <is>
          <t xml:space="preserve">900425237-8 </t>
        </is>
      </c>
      <c r="D3" s="306" t="inlineStr">
        <is>
          <t>CR 64 B 75 33 MEDELLIN</t>
        </is>
      </c>
      <c r="E3" s="304" t="n">
        <v>3221994</v>
      </c>
    </row>
    <row r="4" ht="14.25" customHeight="1" s="314">
      <c r="A4" s="304" t="inlineStr">
        <is>
          <t>CARNICOS BARILOCHE</t>
        </is>
      </c>
      <c r="B4" s="18" t="inlineStr">
        <is>
          <t>JULIAN RESTREPO MEDINA</t>
        </is>
      </c>
      <c r="C4" s="305" t="inlineStr">
        <is>
          <t>71389252-8</t>
        </is>
      </c>
      <c r="D4" s="306" t="inlineStr">
        <is>
          <t>CLLE 69 48 143 BRR CAMPO VALDEZ</t>
        </is>
      </c>
      <c r="E4" s="304" t="n">
        <v>6042120800</v>
      </c>
    </row>
    <row r="5" ht="14.25" customHeight="1" s="314">
      <c r="A5" s="304" t="inlineStr">
        <is>
          <t>CARNES COSTA AZUL</t>
        </is>
      </c>
      <c r="B5" s="18" t="inlineStr">
        <is>
          <t>Grupo Vaniglia S.A.S</t>
        </is>
      </c>
      <c r="C5" s="20" t="inlineStr">
        <is>
          <t>900276439-9</t>
        </is>
      </c>
      <c r="D5" s="26" t="inlineStr">
        <is>
          <t>Central Mayorista Bloque 19 Local 1C</t>
        </is>
      </c>
      <c r="E5" s="26" t="inlineStr">
        <is>
          <t>285 63 48 Ext 3</t>
        </is>
      </c>
    </row>
    <row r="6" ht="14.25" customHeight="1" s="314">
      <c r="A6" s="304" t="inlineStr">
        <is>
          <t>CARNES JP SAS</t>
        </is>
      </c>
      <c r="B6" s="18" t="inlineStr">
        <is>
          <t>CARNES JP SAS</t>
        </is>
      </c>
      <c r="C6" s="305" t="inlineStr">
        <is>
          <t>901669364-6</t>
        </is>
      </c>
      <c r="D6" s="306" t="inlineStr">
        <is>
          <t>CL 55 A 5736</t>
        </is>
      </c>
      <c r="E6" s="304" t="n">
        <v>3116170958</v>
      </c>
    </row>
    <row r="7" ht="14.25" customHeight="1" s="314">
      <c r="A7" s="304" t="inlineStr">
        <is>
          <t>CARNES RIKA´S SAS</t>
        </is>
      </c>
      <c r="B7" s="304" t="inlineStr">
        <is>
          <t>CARNES RIKA´S SAS</t>
        </is>
      </c>
      <c r="C7" s="304" t="inlineStr">
        <is>
          <t>901502831-7</t>
        </is>
      </c>
      <c r="D7" s="304" t="inlineStr">
        <is>
          <t>cl 55  57 80</t>
        </is>
      </c>
      <c r="E7" s="304" t="n">
        <v>3581519</v>
      </c>
      <c r="F7" s="304" t="n"/>
    </row>
    <row r="8" ht="14.25" customHeight="1" s="314">
      <c r="A8" s="304" t="inlineStr">
        <is>
          <t>CARNES VITAL SAS</t>
        </is>
      </c>
      <c r="B8" s="18" t="inlineStr">
        <is>
          <t>CARNES VITAL SAS</t>
        </is>
      </c>
      <c r="C8" s="305" t="inlineStr">
        <is>
          <t>900860359-2</t>
        </is>
      </c>
      <c r="D8" s="306" t="inlineStr">
        <is>
          <t>CL 55 27 36 IN 186 SEC 8 LC 20</t>
        </is>
      </c>
      <c r="E8" s="307" t="inlineStr">
        <is>
          <t>5 1 1 9 3 7 4</t>
        </is>
      </c>
    </row>
    <row r="9" ht="14.25" customHeight="1" s="314">
      <c r="A9" s="304" t="inlineStr">
        <is>
          <t>CARNES Y FILETES</t>
        </is>
      </c>
      <c r="B9" s="18" t="inlineStr">
        <is>
          <t>Comercializadora la Isabella  SAS</t>
        </is>
      </c>
      <c r="C9" s="305" t="n"/>
      <c r="D9" s="306" t="inlineStr">
        <is>
          <t>cr 29 a # 58 05</t>
        </is>
      </c>
      <c r="E9" s="304" t="n">
        <v>2723253</v>
      </c>
    </row>
    <row r="10" ht="14.25" customHeight="1" s="314">
      <c r="A10" s="304" t="inlineStr">
        <is>
          <t>CENTRAL GANADERA</t>
        </is>
      </c>
      <c r="B10" s="18" t="inlineStr">
        <is>
          <t>CENTRAL GANADERA</t>
        </is>
      </c>
      <c r="C10" s="305" t="inlineStr">
        <is>
          <t>811015602-1</t>
        </is>
      </c>
      <c r="D10" s="306" t="inlineStr">
        <is>
          <t>calle103EE N0 63D 70</t>
        </is>
      </c>
      <c r="E10" s="304" t="n">
        <v>2679272</v>
      </c>
    </row>
    <row r="11" ht="14.25" customHeight="1" s="314">
      <c r="A11" s="304" t="inlineStr">
        <is>
          <t>EL CORTESANO</t>
        </is>
      </c>
      <c r="B11" s="18" t="inlineStr">
        <is>
          <t>EL CORTESANO</t>
        </is>
      </c>
      <c r="C11" s="305" t="inlineStr">
        <is>
          <t>900092749-6</t>
        </is>
      </c>
      <c r="D11" s="306" t="inlineStr">
        <is>
          <t>clle 80sur 47c 24</t>
        </is>
      </c>
      <c r="E11" s="304" t="n">
        <v>3010540</v>
      </c>
    </row>
    <row r="12" ht="14.25" customHeight="1" s="314">
      <c r="A12" s="304" t="inlineStr">
        <is>
          <t>FRIGOCARNES LTDA</t>
        </is>
      </c>
      <c r="B12" s="18" t="inlineStr">
        <is>
          <t>FrigoCarnes S.A.S</t>
        </is>
      </c>
      <c r="C12" s="20" t="inlineStr">
        <is>
          <t>811030871-9</t>
        </is>
      </c>
      <c r="D12" s="26" t="inlineStr">
        <is>
          <t>Cra 56 # 62-86</t>
        </is>
      </c>
      <c r="E12" s="166" t="inlineStr">
        <is>
          <t>511 99 77</t>
        </is>
      </c>
    </row>
    <row r="13" ht="14.25" customHeight="1" s="314">
      <c r="A13" s="304" t="inlineStr">
        <is>
          <t>HERNANDO HIGUITA</t>
        </is>
      </c>
      <c r="B13" s="304" t="inlineStr">
        <is>
          <t>HERNANDO HIGUITA</t>
        </is>
      </c>
      <c r="C13" s="305" t="inlineStr">
        <is>
          <t>71743607-7</t>
        </is>
      </c>
      <c r="D13" s="306" t="inlineStr">
        <is>
          <t>cra 35 A # 39-16</t>
        </is>
      </c>
      <c r="E13" s="307" t="inlineStr">
        <is>
          <t>216 87 91</t>
        </is>
      </c>
    </row>
    <row r="14" ht="14.25" customHeight="1" s="314">
      <c r="A14" s="304" t="inlineStr">
        <is>
          <t>INVERSIONES TORO ARISTIZABAL</t>
        </is>
      </c>
      <c r="B14" s="304" t="inlineStr">
        <is>
          <t>INVERSIONES TORO ARISTIZABAL S.A.S.</t>
        </is>
      </c>
      <c r="C14" s="305" t="inlineStr">
        <is>
          <t>900379813-3</t>
        </is>
      </c>
      <c r="D14" s="306" t="inlineStr">
        <is>
          <t>cl 80 sur 61 08</t>
        </is>
      </c>
      <c r="E14" s="304" t="n">
        <v>6044441503</v>
      </c>
    </row>
    <row r="15" ht="14.25" customHeight="1" s="314">
      <c r="A15" s="18" t="inlineStr">
        <is>
          <t>INVERSIONES TRIBILIN</t>
        </is>
      </c>
      <c r="B15" s="18" t="inlineStr">
        <is>
          <t>inversiones tribilin sas</t>
        </is>
      </c>
      <c r="C15" s="18" t="inlineStr">
        <is>
          <t>890942986-8</t>
        </is>
      </c>
      <c r="D15" s="18" t="inlineStr">
        <is>
          <t>cl 27 41 189</t>
        </is>
      </c>
      <c r="E15" s="18" t="n">
        <v>2773586</v>
      </c>
      <c r="F15" s="14" t="n"/>
    </row>
    <row r="16" ht="14.25" customHeight="1" s="314">
      <c r="A16" s="304" t="inlineStr">
        <is>
          <t>ISRAEL MOLINA</t>
        </is>
      </c>
      <c r="B16" s="18" t="inlineStr">
        <is>
          <t>Carnes doble z</t>
        </is>
      </c>
      <c r="C16" s="305" t="n">
        <v>70112239</v>
      </c>
      <c r="D16" s="306" t="inlineStr">
        <is>
          <t>Plaza minorista local 4 y 5</t>
        </is>
      </c>
      <c r="E16" s="166" t="n">
        <v>2510718</v>
      </c>
      <c r="G16" s="308" t="n"/>
      <c r="H16" s="309" t="n"/>
      <c r="I16" s="310" t="n"/>
      <c r="J16" s="309" t="n"/>
      <c r="K16" s="311" t="n"/>
    </row>
    <row r="17" ht="14.25" customHeight="1" s="314">
      <c r="A17" s="304" t="inlineStr">
        <is>
          <t>LA CAMPIÑA</t>
        </is>
      </c>
      <c r="B17" s="18" t="inlineStr">
        <is>
          <t>Inversiones Posada Correa S.A.S</t>
        </is>
      </c>
      <c r="C17" s="20" t="inlineStr">
        <is>
          <t>900736021-9</t>
        </is>
      </c>
      <c r="D17" s="26" t="inlineStr">
        <is>
          <t>Calle 33  #76-67</t>
        </is>
      </c>
      <c r="E17" s="166" t="n">
        <v>4132872</v>
      </c>
    </row>
    <row r="18" ht="14.25" customHeight="1" s="314">
      <c r="A18" s="304" t="inlineStr">
        <is>
          <t>CARNES LA GARANTIA PC SAS</t>
        </is>
      </c>
      <c r="B18" s="18" t="inlineStr">
        <is>
          <t>Carnes La Garantia PC S.A.S</t>
        </is>
      </c>
      <c r="C18" s="20" t="inlineStr">
        <is>
          <t>900,349,322-0</t>
        </is>
      </c>
      <c r="D18" s="26" t="inlineStr">
        <is>
          <t>Plaza Minorista local 56</t>
        </is>
      </c>
      <c r="E18" s="166" t="inlineStr">
        <is>
          <t>2 51 04 77</t>
        </is>
      </c>
    </row>
    <row r="19" ht="14.25" customHeight="1" s="314">
      <c r="A19" s="304" t="inlineStr">
        <is>
          <t>LA HACIENDA</t>
        </is>
      </c>
      <c r="B19" s="18" t="inlineStr">
        <is>
          <t>inversiones de la hacienda sas</t>
        </is>
      </c>
      <c r="C19" s="305" t="inlineStr">
        <is>
          <t>9011272245-2</t>
        </is>
      </c>
      <c r="D19" s="306" t="inlineStr">
        <is>
          <t>calle 55 a57-36 lc 34-35-36</t>
        </is>
      </c>
      <c r="E19" s="304" t="n">
        <v>3117206756</v>
      </c>
    </row>
    <row r="20" ht="14.25" customHeight="1" s="314">
      <c r="A20" s="18" t="inlineStr">
        <is>
          <t>CARNICERIA LOS ANGELES</t>
        </is>
      </c>
      <c r="B20" s="18" t="inlineStr">
        <is>
          <t>Inversiones Posada Correa S.A.S</t>
        </is>
      </c>
      <c r="C20" s="20" t="inlineStr">
        <is>
          <t>900736021-9</t>
        </is>
      </c>
      <c r="D20" s="26" t="inlineStr">
        <is>
          <t>Calle 33  #76-67</t>
        </is>
      </c>
      <c r="E20" s="166" t="n">
        <v>4132872</v>
      </c>
    </row>
    <row r="21" ht="14.25" customHeight="1" s="314">
      <c r="A21" s="304" t="inlineStr">
        <is>
          <t>PACARDYL SUPERMERCADO -MAYORISTA</t>
        </is>
      </c>
      <c r="B21" s="18" t="inlineStr">
        <is>
          <t>Grupo Vaniglia S.A.S</t>
        </is>
      </c>
      <c r="C21" s="20" t="inlineStr">
        <is>
          <t>900276439-9</t>
        </is>
      </c>
      <c r="D21" s="26" t="inlineStr">
        <is>
          <t>Central Mayorista Bloque 19 Local 1C</t>
        </is>
      </c>
      <c r="E21" s="26" t="inlineStr">
        <is>
          <t>285 63 48 Ext 3</t>
        </is>
      </c>
    </row>
    <row r="22" ht="14.25" customHeight="1" s="314">
      <c r="A22" s="304" t="inlineStr">
        <is>
          <t>CARNES PIEMONTE</t>
        </is>
      </c>
      <c r="B22" s="18" t="inlineStr">
        <is>
          <t>PIEMONTE COMERCIALIZADORA DE CARNES</t>
        </is>
      </c>
      <c r="C22" s="305" t="inlineStr">
        <is>
          <t>900607431-2</t>
        </is>
      </c>
      <c r="D22" s="306" t="inlineStr">
        <is>
          <t>CLL 55 a 57-36 INT 188</t>
        </is>
      </c>
      <c r="E22" s="166" t="n">
        <v>2516683</v>
      </c>
    </row>
    <row r="23" ht="14.25" customHeight="1" s="314">
      <c r="A23" s="304" t="inlineStr">
        <is>
          <t>RAPIPROVECARNES</t>
        </is>
      </c>
      <c r="B23" s="18" t="inlineStr">
        <is>
          <t>rapiprovecarnes s a s</t>
        </is>
      </c>
      <c r="C23" s="305" t="inlineStr">
        <is>
          <t>900590169-0</t>
        </is>
      </c>
      <c r="D23" s="306" t="inlineStr">
        <is>
          <t>kra 48 calle 85 192</t>
        </is>
      </c>
      <c r="E23" s="304" t="n">
        <v>3545031</v>
      </c>
      <c r="G23" s="304" t="n"/>
    </row>
    <row r="24" ht="14.25" customHeight="1" s="314">
      <c r="A24" s="304" t="inlineStr">
        <is>
          <t>SURTICARNES VALE</t>
        </is>
      </c>
      <c r="B24" s="18" t="inlineStr">
        <is>
          <t>surticarnes vale sas</t>
        </is>
      </c>
      <c r="C24" s="305" t="n">
        <v>900623167</v>
      </c>
      <c r="D24" s="306" t="inlineStr">
        <is>
          <t>cr 69 24 sur 20 brr villa claudia pd</t>
        </is>
      </c>
      <c r="E24" s="304" t="n">
        <v>3118122015</v>
      </c>
    </row>
    <row r="25" ht="14.25" customHeight="1" s="314">
      <c r="A25" s="304" t="inlineStr">
        <is>
          <t>URIEL GOMEZ</t>
        </is>
      </c>
      <c r="B25" s="18" t="inlineStr">
        <is>
          <t>Inversiones Uriel Gomez Acevedo SAS</t>
        </is>
      </c>
      <c r="C25" s="305" t="inlineStr">
        <is>
          <t>900742425-5</t>
        </is>
      </c>
      <c r="D25" s="306" t="inlineStr">
        <is>
          <t>Km1 Camilo C Amaga</t>
        </is>
      </c>
      <c r="E25" s="304" t="n">
        <v>4873577</v>
      </c>
    </row>
    <row r="26" ht="14.25" customHeight="1" s="314">
      <c r="A26" s="304" t="inlineStr">
        <is>
          <t>AGROPECUARIA NN</t>
        </is>
      </c>
      <c r="B26" s="18" t="inlineStr">
        <is>
          <t>AGROPECUARIA NN S.A.S.</t>
        </is>
      </c>
      <c r="C26" s="305" t="inlineStr">
        <is>
          <t>901702660-2</t>
        </is>
      </c>
      <c r="D26" s="306" t="inlineStr">
        <is>
          <t>CRA 23 11 57 CA 131</t>
        </is>
      </c>
      <c r="E26" s="304" t="n">
        <v>3104622816</v>
      </c>
    </row>
    <row r="27" ht="14.25" customHeight="1" s="314">
      <c r="C27" s="210" t="n"/>
      <c r="D27" s="312" t="n"/>
    </row>
    <row r="28" ht="14.25" customHeight="1" s="314">
      <c r="C28" s="210" t="n"/>
      <c r="D28" s="312" t="n"/>
    </row>
    <row r="29" ht="14.25" customHeight="1" s="314">
      <c r="C29" s="210" t="n"/>
      <c r="D29" s="312" t="n"/>
    </row>
    <row r="30" ht="14.25" customHeight="1" s="314">
      <c r="C30" s="210" t="n"/>
      <c r="D30" s="312" t="n"/>
    </row>
    <row r="31" ht="14.25" customHeight="1" s="314">
      <c r="C31" s="210" t="n"/>
      <c r="D31" s="312" t="n"/>
    </row>
    <row r="32" ht="14.25" customHeight="1" s="314">
      <c r="C32" s="210" t="n"/>
      <c r="D32" s="312" t="n"/>
    </row>
    <row r="33" ht="14.25" customHeight="1" s="314">
      <c r="C33" s="210" t="n"/>
      <c r="D33" s="312" t="n"/>
    </row>
    <row r="34" ht="14.25" customHeight="1" s="314">
      <c r="C34" s="210" t="n"/>
      <c r="D34" s="312" t="n"/>
    </row>
    <row r="35" ht="14.25" customHeight="1" s="314">
      <c r="C35" s="210" t="n"/>
      <c r="D35" s="312" t="n"/>
    </row>
    <row r="36" ht="14.25" customHeight="1" s="314">
      <c r="C36" s="210" t="n"/>
      <c r="D36" s="312" t="n"/>
    </row>
    <row r="37" ht="14.25" customHeight="1" s="314">
      <c r="C37" s="210" t="n"/>
      <c r="D37" s="312" t="n"/>
    </row>
    <row r="38" ht="14.25" customHeight="1" s="314">
      <c r="C38" s="210" t="n"/>
      <c r="D38" s="312" t="n"/>
    </row>
    <row r="39" ht="14.25" customHeight="1" s="314">
      <c r="C39" s="210" t="n"/>
      <c r="D39" s="312" t="n"/>
    </row>
    <row r="40" ht="14.25" customHeight="1" s="314">
      <c r="C40" s="210" t="n"/>
      <c r="D40" s="312" t="n"/>
    </row>
    <row r="41" ht="14.25" customHeight="1" s="314">
      <c r="C41" s="210" t="n"/>
      <c r="D41" s="312" t="n"/>
    </row>
    <row r="42" ht="14.25" customHeight="1" s="314">
      <c r="C42" s="210" t="n"/>
      <c r="D42" s="312" t="n"/>
    </row>
    <row r="43" ht="14.25" customHeight="1" s="314">
      <c r="C43" s="210" t="n"/>
      <c r="D43" s="312" t="n"/>
    </row>
    <row r="44" ht="14.25" customHeight="1" s="314">
      <c r="C44" s="210" t="n"/>
      <c r="D44" s="312" t="n"/>
    </row>
    <row r="45" ht="14.25" customHeight="1" s="314">
      <c r="C45" s="210" t="n"/>
      <c r="D45" s="312" t="n"/>
    </row>
    <row r="46" ht="14.25" customHeight="1" s="314">
      <c r="C46" s="210" t="n"/>
      <c r="D46" s="312" t="n"/>
    </row>
    <row r="47" ht="14.25" customHeight="1" s="314">
      <c r="C47" s="210" t="n"/>
      <c r="D47" s="312" t="n"/>
    </row>
    <row r="48" ht="14.25" customHeight="1" s="314">
      <c r="C48" s="210" t="n"/>
      <c r="D48" s="312" t="n"/>
    </row>
    <row r="49" ht="14.25" customHeight="1" s="314">
      <c r="C49" s="210" t="n"/>
      <c r="D49" s="312" t="n"/>
    </row>
    <row r="50" ht="14.25" customHeight="1" s="314">
      <c r="C50" s="210" t="n"/>
      <c r="D50" s="312" t="n"/>
    </row>
    <row r="51" ht="14.25" customHeight="1" s="314">
      <c r="C51" s="210" t="n"/>
      <c r="D51" s="312" t="n"/>
    </row>
    <row r="52" ht="14.25" customHeight="1" s="314">
      <c r="C52" s="210" t="n"/>
      <c r="D52" s="312" t="n"/>
    </row>
    <row r="53" ht="14.25" customHeight="1" s="314">
      <c r="C53" s="210" t="n"/>
      <c r="D53" s="312" t="n"/>
    </row>
    <row r="54" ht="14.25" customHeight="1" s="314">
      <c r="C54" s="210" t="n"/>
      <c r="D54" s="312" t="n"/>
    </row>
    <row r="55" ht="14.25" customHeight="1" s="314">
      <c r="C55" s="210" t="n"/>
      <c r="D55" s="312" t="n"/>
    </row>
    <row r="56" ht="14.25" customHeight="1" s="314">
      <c r="C56" s="210" t="n"/>
      <c r="D56" s="312" t="n"/>
    </row>
    <row r="57" ht="14.25" customHeight="1" s="314">
      <c r="C57" s="210" t="n"/>
      <c r="D57" s="312" t="n"/>
    </row>
    <row r="58" ht="14.25" customHeight="1" s="314">
      <c r="C58" s="210" t="n"/>
      <c r="D58" s="312" t="n"/>
    </row>
    <row r="59" ht="14.25" customHeight="1" s="314">
      <c r="C59" s="210" t="n"/>
      <c r="D59" s="312" t="n"/>
    </row>
    <row r="60" ht="14.25" customHeight="1" s="314">
      <c r="C60" s="210" t="n"/>
      <c r="D60" s="312" t="n"/>
    </row>
    <row r="61" ht="14.25" customHeight="1" s="314">
      <c r="C61" s="210" t="n"/>
      <c r="D61" s="312" t="n"/>
    </row>
    <row r="62" ht="14.25" customHeight="1" s="314">
      <c r="C62" s="210" t="n"/>
      <c r="D62" s="312" t="n"/>
    </row>
    <row r="63" ht="14.25" customHeight="1" s="314">
      <c r="C63" s="210" t="n"/>
      <c r="D63" s="312" t="n"/>
    </row>
    <row r="64" ht="14.25" customHeight="1" s="314">
      <c r="C64" s="210" t="n"/>
      <c r="D64" s="312" t="n"/>
    </row>
    <row r="65" ht="14.25" customHeight="1" s="314">
      <c r="C65" s="210" t="n"/>
      <c r="D65" s="312" t="n"/>
    </row>
    <row r="66" ht="14.25" customHeight="1" s="314">
      <c r="C66" s="210" t="n"/>
      <c r="D66" s="312" t="n"/>
    </row>
    <row r="67" ht="14.25" customHeight="1" s="314">
      <c r="C67" s="210" t="n"/>
      <c r="D67" s="312" t="n"/>
    </row>
    <row r="68" ht="14.25" customHeight="1" s="314">
      <c r="C68" s="210" t="n"/>
      <c r="D68" s="312" t="n"/>
    </row>
    <row r="69" ht="14.25" customHeight="1" s="314">
      <c r="C69" s="210" t="n"/>
      <c r="D69" s="312" t="n"/>
    </row>
    <row r="70" ht="14.25" customHeight="1" s="314">
      <c r="C70" s="210" t="n"/>
      <c r="D70" s="312" t="n"/>
    </row>
    <row r="71" ht="14.25" customHeight="1" s="314">
      <c r="C71" s="210" t="n"/>
      <c r="D71" s="312" t="n"/>
    </row>
    <row r="72" ht="14.25" customHeight="1" s="314">
      <c r="C72" s="210" t="n"/>
      <c r="D72" s="312" t="n"/>
    </row>
    <row r="73" ht="14.25" customHeight="1" s="314">
      <c r="C73" s="210" t="n"/>
      <c r="D73" s="312" t="n"/>
    </row>
    <row r="74" ht="14.25" customHeight="1" s="314">
      <c r="C74" s="210" t="n"/>
      <c r="D74" s="312" t="n"/>
    </row>
    <row r="75" ht="14.25" customHeight="1" s="314">
      <c r="C75" s="210" t="n"/>
      <c r="D75" s="312" t="n"/>
    </row>
    <row r="76" ht="14.25" customHeight="1" s="314">
      <c r="C76" s="210" t="n"/>
      <c r="D76" s="312" t="n"/>
    </row>
    <row r="77" ht="14.25" customHeight="1" s="314">
      <c r="C77" s="210" t="n"/>
      <c r="D77" s="312" t="n"/>
    </row>
    <row r="78" ht="14.25" customHeight="1" s="314">
      <c r="C78" s="210" t="n"/>
      <c r="D78" s="312" t="n"/>
    </row>
    <row r="79" ht="14.25" customHeight="1" s="314">
      <c r="C79" s="210" t="n"/>
      <c r="D79" s="312" t="n"/>
    </row>
    <row r="80" ht="14.25" customHeight="1" s="314">
      <c r="C80" s="210" t="n"/>
      <c r="D80" s="312" t="n"/>
    </row>
    <row r="81" ht="14.25" customHeight="1" s="314">
      <c r="C81" s="210" t="n"/>
      <c r="D81" s="312" t="n"/>
    </row>
    <row r="82" ht="14.25" customHeight="1" s="314">
      <c r="C82" s="210" t="n"/>
      <c r="D82" s="312" t="n"/>
    </row>
    <row r="83" ht="14.25" customHeight="1" s="314">
      <c r="C83" s="210" t="n"/>
      <c r="D83" s="312" t="n"/>
    </row>
    <row r="84" ht="14.25" customHeight="1" s="314">
      <c r="C84" s="210" t="n"/>
      <c r="D84" s="312" t="n"/>
    </row>
    <row r="85" ht="14.25" customHeight="1" s="314">
      <c r="C85" s="210" t="n"/>
      <c r="D85" s="312" t="n"/>
    </row>
    <row r="86" ht="14.25" customHeight="1" s="314">
      <c r="C86" s="210" t="n"/>
      <c r="D86" s="312" t="n"/>
    </row>
    <row r="87" ht="14.25" customHeight="1" s="314">
      <c r="C87" s="210" t="n"/>
      <c r="D87" s="312" t="n"/>
    </row>
    <row r="88" ht="14.25" customHeight="1" s="314">
      <c r="C88" s="210" t="n"/>
      <c r="D88" s="312" t="n"/>
    </row>
    <row r="89" ht="14.25" customHeight="1" s="314">
      <c r="C89" s="210" t="n"/>
      <c r="D89" s="312" t="n"/>
    </row>
    <row r="90" ht="14.25" customHeight="1" s="314">
      <c r="C90" s="210" t="n"/>
      <c r="D90" s="312" t="n"/>
    </row>
    <row r="91" ht="14.25" customHeight="1" s="314">
      <c r="C91" s="210" t="n"/>
      <c r="D91" s="312" t="n"/>
    </row>
    <row r="92" ht="14.25" customHeight="1" s="314">
      <c r="C92" s="210" t="n"/>
      <c r="D92" s="312" t="n"/>
    </row>
    <row r="93" ht="14.25" customHeight="1" s="314">
      <c r="C93" s="210" t="n"/>
      <c r="D93" s="312" t="n"/>
    </row>
    <row r="94" ht="14.25" customHeight="1" s="314">
      <c r="C94" s="210" t="n"/>
      <c r="D94" s="312" t="n"/>
    </row>
    <row r="95" ht="14.25" customHeight="1" s="314">
      <c r="C95" s="210" t="n"/>
      <c r="D95" s="312" t="n"/>
    </row>
    <row r="96" ht="14.25" customHeight="1" s="314">
      <c r="C96" s="210" t="n"/>
      <c r="D96" s="312" t="n"/>
    </row>
    <row r="97" ht="14.25" customHeight="1" s="314">
      <c r="C97" s="210" t="n"/>
      <c r="D97" s="312" t="n"/>
    </row>
    <row r="98" ht="14.25" customHeight="1" s="314">
      <c r="C98" s="210" t="n"/>
      <c r="D98" s="312" t="n"/>
    </row>
    <row r="99" ht="14.25" customHeight="1" s="314">
      <c r="C99" s="210" t="n"/>
      <c r="D99" s="312" t="n"/>
    </row>
    <row r="100" ht="14.25" customHeight="1" s="314">
      <c r="C100" s="210" t="n"/>
      <c r="D100" s="312" t="n"/>
    </row>
    <row r="101" ht="14.25" customHeight="1" s="314">
      <c r="C101" s="210" t="n"/>
      <c r="D101" s="312" t="n"/>
    </row>
    <row r="102" ht="14.25" customHeight="1" s="314">
      <c r="C102" s="210" t="n"/>
      <c r="D102" s="312" t="n"/>
    </row>
    <row r="103" ht="14.25" customHeight="1" s="314">
      <c r="C103" s="210" t="n"/>
      <c r="D103" s="312" t="n"/>
    </row>
    <row r="104" ht="14.25" customHeight="1" s="314">
      <c r="C104" s="210" t="n"/>
      <c r="D104" s="312" t="n"/>
    </row>
    <row r="105" ht="14.25" customHeight="1" s="314">
      <c r="C105" s="210" t="n"/>
      <c r="D105" s="312" t="n"/>
    </row>
    <row r="106" ht="14.25" customHeight="1" s="314">
      <c r="C106" s="210" t="n"/>
      <c r="D106" s="312" t="n"/>
    </row>
    <row r="107" ht="14.25" customHeight="1" s="314">
      <c r="C107" s="210" t="n"/>
      <c r="D107" s="312" t="n"/>
    </row>
    <row r="108" ht="14.25" customHeight="1" s="314">
      <c r="C108" s="210" t="n"/>
      <c r="D108" s="312" t="n"/>
    </row>
    <row r="109" ht="14.25" customHeight="1" s="314">
      <c r="C109" s="210" t="n"/>
      <c r="D109" s="312" t="n"/>
    </row>
    <row r="110" ht="14.25" customHeight="1" s="314">
      <c r="C110" s="210" t="n"/>
      <c r="D110" s="312" t="n"/>
    </row>
    <row r="111" ht="14.25" customHeight="1" s="314">
      <c r="C111" s="210" t="n"/>
      <c r="D111" s="312" t="n"/>
    </row>
    <row r="112" ht="14.25" customHeight="1" s="314">
      <c r="C112" s="210" t="n"/>
      <c r="D112" s="312" t="n"/>
    </row>
    <row r="113" ht="14.25" customHeight="1" s="314">
      <c r="C113" s="210" t="n"/>
      <c r="D113" s="312" t="n"/>
    </row>
    <row r="114" ht="14.25" customHeight="1" s="314">
      <c r="C114" s="210" t="n"/>
      <c r="D114" s="312" t="n"/>
    </row>
    <row r="115" ht="14.25" customHeight="1" s="314">
      <c r="C115" s="210" t="n"/>
      <c r="D115" s="312" t="n"/>
    </row>
    <row r="116" ht="14.25" customHeight="1" s="314">
      <c r="C116" s="210" t="n"/>
      <c r="D116" s="312" t="n"/>
    </row>
    <row r="117" ht="14.25" customHeight="1" s="314">
      <c r="C117" s="210" t="n"/>
      <c r="D117" s="312" t="n"/>
    </row>
    <row r="118" ht="14.25" customHeight="1" s="314">
      <c r="C118" s="210" t="n"/>
      <c r="D118" s="312" t="n"/>
    </row>
    <row r="119" ht="14.25" customHeight="1" s="314">
      <c r="C119" s="210" t="n"/>
      <c r="D119" s="312" t="n"/>
    </row>
    <row r="120" ht="14.25" customHeight="1" s="314">
      <c r="C120" s="210" t="n"/>
      <c r="D120" s="312" t="n"/>
    </row>
    <row r="121" ht="14.25" customHeight="1" s="314">
      <c r="C121" s="210" t="n"/>
      <c r="D121" s="312" t="n"/>
    </row>
    <row r="122" ht="14.25" customHeight="1" s="314">
      <c r="C122" s="210" t="n"/>
      <c r="D122" s="312" t="n"/>
    </row>
    <row r="123" ht="14.25" customHeight="1" s="314">
      <c r="C123" s="210" t="n"/>
      <c r="D123" s="312" t="n"/>
    </row>
    <row r="124" ht="14.25" customHeight="1" s="314">
      <c r="C124" s="210" t="n"/>
      <c r="D124" s="312" t="n"/>
    </row>
    <row r="125" ht="14.25" customHeight="1" s="314">
      <c r="C125" s="210" t="n"/>
      <c r="D125" s="312" t="n"/>
    </row>
    <row r="126" ht="14.25" customHeight="1" s="314">
      <c r="C126" s="210" t="n"/>
      <c r="D126" s="312" t="n"/>
    </row>
    <row r="127" ht="14.25" customHeight="1" s="314">
      <c r="C127" s="210" t="n"/>
      <c r="D127" s="312" t="n"/>
    </row>
    <row r="128" ht="14.25" customHeight="1" s="314">
      <c r="C128" s="210" t="n"/>
      <c r="D128" s="312" t="n"/>
    </row>
    <row r="129" ht="14.25" customHeight="1" s="314">
      <c r="C129" s="210" t="n"/>
      <c r="D129" s="312" t="n"/>
    </row>
    <row r="130" ht="14.25" customHeight="1" s="314">
      <c r="C130" s="210" t="n"/>
      <c r="D130" s="312" t="n"/>
    </row>
    <row r="131" ht="14.25" customHeight="1" s="314">
      <c r="C131" s="210" t="n"/>
      <c r="D131" s="312" t="n"/>
    </row>
    <row r="132" ht="14.25" customHeight="1" s="314">
      <c r="C132" s="210" t="n"/>
      <c r="D132" s="312" t="n"/>
    </row>
    <row r="133" ht="14.25" customHeight="1" s="314">
      <c r="C133" s="210" t="n"/>
      <c r="D133" s="312" t="n"/>
    </row>
    <row r="134" ht="14.25" customHeight="1" s="314">
      <c r="C134" s="210" t="n"/>
      <c r="D134" s="312" t="n"/>
    </row>
    <row r="135" ht="14.25" customHeight="1" s="314">
      <c r="C135" s="210" t="n"/>
      <c r="D135" s="312" t="n"/>
    </row>
    <row r="136" ht="14.25" customHeight="1" s="314">
      <c r="C136" s="210" t="n"/>
      <c r="D136" s="312" t="n"/>
    </row>
    <row r="137" ht="14.25" customHeight="1" s="314">
      <c r="C137" s="210" t="n"/>
      <c r="D137" s="312" t="n"/>
    </row>
    <row r="138" ht="14.25" customHeight="1" s="314">
      <c r="C138" s="210" t="n"/>
      <c r="D138" s="312" t="n"/>
    </row>
    <row r="139" ht="14.25" customHeight="1" s="314">
      <c r="C139" s="210" t="n"/>
      <c r="D139" s="312" t="n"/>
    </row>
    <row r="140" ht="14.25" customHeight="1" s="314">
      <c r="C140" s="210" t="n"/>
      <c r="D140" s="312" t="n"/>
    </row>
    <row r="141" ht="14.25" customHeight="1" s="314">
      <c r="C141" s="210" t="n"/>
      <c r="D141" s="312" t="n"/>
    </row>
    <row r="142" ht="14.25" customHeight="1" s="314">
      <c r="C142" s="210" t="n"/>
      <c r="D142" s="312" t="n"/>
    </row>
    <row r="143" ht="14.25" customHeight="1" s="314">
      <c r="C143" s="210" t="n"/>
      <c r="D143" s="312" t="n"/>
    </row>
    <row r="144" ht="14.25" customHeight="1" s="314">
      <c r="C144" s="210" t="n"/>
      <c r="D144" s="312" t="n"/>
    </row>
    <row r="145" ht="14.25" customHeight="1" s="314">
      <c r="C145" s="210" t="n"/>
      <c r="D145" s="312" t="n"/>
    </row>
    <row r="146" ht="14.25" customHeight="1" s="314">
      <c r="C146" s="210" t="n"/>
      <c r="D146" s="312" t="n"/>
    </row>
    <row r="147" ht="14.25" customHeight="1" s="314">
      <c r="C147" s="210" t="n"/>
      <c r="D147" s="312" t="n"/>
    </row>
    <row r="148" ht="14.25" customHeight="1" s="314">
      <c r="C148" s="210" t="n"/>
      <c r="D148" s="312" t="n"/>
    </row>
    <row r="149" ht="14.25" customHeight="1" s="314">
      <c r="C149" s="210" t="n"/>
      <c r="D149" s="312" t="n"/>
    </row>
    <row r="150" ht="14.25" customHeight="1" s="314">
      <c r="C150" s="210" t="n"/>
      <c r="D150" s="312" t="n"/>
    </row>
    <row r="151" ht="14.25" customHeight="1" s="314">
      <c r="C151" s="210" t="n"/>
      <c r="D151" s="312" t="n"/>
    </row>
    <row r="152" ht="14.25" customHeight="1" s="314">
      <c r="C152" s="210" t="n"/>
      <c r="D152" s="312" t="n"/>
    </row>
    <row r="153" ht="14.25" customHeight="1" s="314">
      <c r="C153" s="210" t="n"/>
      <c r="D153" s="312" t="n"/>
    </row>
    <row r="154" ht="14.25" customHeight="1" s="314">
      <c r="C154" s="210" t="n"/>
      <c r="D154" s="312" t="n"/>
    </row>
    <row r="155" ht="14.25" customHeight="1" s="314">
      <c r="C155" s="210" t="n"/>
      <c r="D155" s="312" t="n"/>
    </row>
    <row r="156" ht="14.25" customHeight="1" s="314">
      <c r="C156" s="210" t="n"/>
      <c r="D156" s="312" t="n"/>
    </row>
    <row r="157" ht="14.25" customHeight="1" s="314">
      <c r="C157" s="210" t="n"/>
      <c r="D157" s="312" t="n"/>
    </row>
    <row r="158" ht="14.25" customHeight="1" s="314">
      <c r="C158" s="210" t="n"/>
      <c r="D158" s="312" t="n"/>
    </row>
    <row r="159" ht="14.25" customHeight="1" s="314">
      <c r="C159" s="210" t="n"/>
      <c r="D159" s="312" t="n"/>
    </row>
    <row r="160" ht="14.25" customHeight="1" s="314">
      <c r="C160" s="210" t="n"/>
      <c r="D160" s="312" t="n"/>
    </row>
    <row r="161" ht="14.25" customHeight="1" s="314">
      <c r="C161" s="210" t="n"/>
      <c r="D161" s="312" t="n"/>
    </row>
    <row r="162" ht="14.25" customHeight="1" s="314">
      <c r="C162" s="210" t="n"/>
      <c r="D162" s="312" t="n"/>
    </row>
    <row r="163" ht="14.25" customHeight="1" s="314">
      <c r="C163" s="210" t="n"/>
      <c r="D163" s="312" t="n"/>
    </row>
    <row r="164" ht="14.25" customHeight="1" s="314">
      <c r="C164" s="210" t="n"/>
      <c r="D164" s="312" t="n"/>
    </row>
    <row r="165" ht="14.25" customHeight="1" s="314">
      <c r="C165" s="210" t="n"/>
      <c r="D165" s="312" t="n"/>
    </row>
    <row r="166" ht="14.25" customHeight="1" s="314">
      <c r="C166" s="210" t="n"/>
      <c r="D166" s="312" t="n"/>
    </row>
    <row r="167" ht="14.25" customHeight="1" s="314">
      <c r="C167" s="210" t="n"/>
      <c r="D167" s="312" t="n"/>
    </row>
    <row r="168" ht="14.25" customHeight="1" s="314">
      <c r="C168" s="210" t="n"/>
      <c r="D168" s="312" t="n"/>
    </row>
    <row r="169" ht="14.25" customHeight="1" s="314">
      <c r="C169" s="210" t="n"/>
      <c r="D169" s="312" t="n"/>
    </row>
    <row r="170" ht="14.25" customHeight="1" s="314">
      <c r="C170" s="210" t="n"/>
      <c r="D170" s="312" t="n"/>
    </row>
    <row r="171" ht="14.25" customHeight="1" s="314">
      <c r="C171" s="210" t="n"/>
      <c r="D171" s="312" t="n"/>
    </row>
    <row r="172" ht="14.25" customHeight="1" s="314">
      <c r="C172" s="210" t="n"/>
      <c r="D172" s="312" t="n"/>
    </row>
    <row r="173" ht="14.25" customHeight="1" s="314">
      <c r="C173" s="210" t="n"/>
      <c r="D173" s="312" t="n"/>
    </row>
    <row r="174" ht="14.25" customHeight="1" s="314">
      <c r="C174" s="210" t="n"/>
      <c r="D174" s="312" t="n"/>
    </row>
    <row r="175" ht="14.25" customHeight="1" s="314">
      <c r="C175" s="210" t="n"/>
      <c r="D175" s="312" t="n"/>
    </row>
    <row r="176" ht="14.25" customHeight="1" s="314">
      <c r="C176" s="210" t="n"/>
      <c r="D176" s="312" t="n"/>
    </row>
    <row r="177" ht="14.25" customHeight="1" s="314">
      <c r="C177" s="210" t="n"/>
      <c r="D177" s="312" t="n"/>
    </row>
    <row r="178" ht="14.25" customHeight="1" s="314">
      <c r="C178" s="210" t="n"/>
      <c r="D178" s="312" t="n"/>
    </row>
    <row r="179" ht="14.25" customHeight="1" s="314">
      <c r="C179" s="210" t="n"/>
      <c r="D179" s="312" t="n"/>
    </row>
    <row r="180" ht="14.25" customHeight="1" s="314">
      <c r="C180" s="210" t="n"/>
      <c r="D180" s="312" t="n"/>
    </row>
    <row r="181" ht="14.25" customHeight="1" s="314">
      <c r="C181" s="210" t="n"/>
      <c r="D181" s="312" t="n"/>
    </row>
    <row r="182" ht="14.25" customHeight="1" s="314">
      <c r="C182" s="210" t="n"/>
      <c r="D182" s="312" t="n"/>
    </row>
    <row r="183" ht="14.25" customHeight="1" s="314">
      <c r="C183" s="210" t="n"/>
      <c r="D183" s="312" t="n"/>
    </row>
    <row r="184" ht="14.25" customHeight="1" s="314">
      <c r="C184" s="210" t="n"/>
      <c r="D184" s="312" t="n"/>
    </row>
    <row r="185" ht="14.25" customHeight="1" s="314">
      <c r="C185" s="210" t="n"/>
      <c r="D185" s="312" t="n"/>
    </row>
    <row r="186" ht="14.25" customHeight="1" s="314">
      <c r="C186" s="210" t="n"/>
      <c r="D186" s="312" t="n"/>
    </row>
    <row r="187" ht="14.25" customHeight="1" s="314">
      <c r="C187" s="210" t="n"/>
      <c r="D187" s="312" t="n"/>
    </row>
    <row r="188" ht="14.25" customHeight="1" s="314">
      <c r="C188" s="210" t="n"/>
      <c r="D188" s="312" t="n"/>
    </row>
    <row r="189" ht="14.25" customHeight="1" s="314">
      <c r="C189" s="210" t="n"/>
      <c r="D189" s="312" t="n"/>
    </row>
    <row r="190" ht="14.25" customHeight="1" s="314">
      <c r="C190" s="210" t="n"/>
      <c r="D190" s="312" t="n"/>
    </row>
    <row r="191" ht="14.25" customHeight="1" s="314">
      <c r="C191" s="210" t="n"/>
      <c r="D191" s="312" t="n"/>
    </row>
    <row r="192" ht="14.25" customHeight="1" s="314">
      <c r="C192" s="210" t="n"/>
      <c r="D192" s="312" t="n"/>
    </row>
    <row r="193" ht="14.25" customHeight="1" s="314">
      <c r="C193" s="210" t="n"/>
      <c r="D193" s="312" t="n"/>
    </row>
    <row r="194" ht="14.25" customHeight="1" s="314">
      <c r="C194" s="210" t="n"/>
      <c r="D194" s="312" t="n"/>
    </row>
    <row r="195" ht="14.25" customHeight="1" s="314">
      <c r="C195" s="210" t="n"/>
      <c r="D195" s="312" t="n"/>
    </row>
    <row r="196" ht="14.25" customHeight="1" s="314">
      <c r="C196" s="210" t="n"/>
      <c r="D196" s="312" t="n"/>
    </row>
    <row r="197" ht="14.25" customHeight="1" s="314">
      <c r="C197" s="210" t="n"/>
      <c r="D197" s="312" t="n"/>
    </row>
    <row r="198" ht="14.25" customHeight="1" s="314">
      <c r="C198" s="210" t="n"/>
      <c r="D198" s="312" t="n"/>
    </row>
    <row r="199" ht="14.25" customHeight="1" s="314">
      <c r="C199" s="210" t="n"/>
      <c r="D199" s="312" t="n"/>
    </row>
    <row r="200" ht="14.25" customHeight="1" s="314">
      <c r="C200" s="210" t="n"/>
      <c r="D200" s="312" t="n"/>
    </row>
    <row r="201" ht="14.25" customHeight="1" s="314">
      <c r="C201" s="210" t="n"/>
      <c r="D201" s="312" t="n"/>
    </row>
    <row r="202" ht="14.25" customHeight="1" s="314">
      <c r="C202" s="210" t="n"/>
      <c r="D202" s="312" t="n"/>
    </row>
    <row r="203" ht="14.25" customHeight="1" s="314">
      <c r="C203" s="210" t="n"/>
      <c r="D203" s="312" t="n"/>
    </row>
    <row r="204" ht="14.25" customHeight="1" s="314">
      <c r="C204" s="210" t="n"/>
      <c r="D204" s="312" t="n"/>
    </row>
    <row r="205" ht="14.25" customHeight="1" s="314">
      <c r="C205" s="210" t="n"/>
      <c r="D205" s="312" t="n"/>
    </row>
    <row r="206" ht="14.25" customHeight="1" s="314">
      <c r="C206" s="210" t="n"/>
      <c r="D206" s="312" t="n"/>
    </row>
    <row r="207" ht="14.25" customHeight="1" s="314">
      <c r="C207" s="210" t="n"/>
      <c r="D207" s="312" t="n"/>
    </row>
    <row r="208" ht="14.25" customHeight="1" s="314">
      <c r="C208" s="210" t="n"/>
      <c r="D208" s="312" t="n"/>
    </row>
    <row r="209" ht="14.25" customHeight="1" s="314">
      <c r="C209" s="210" t="n"/>
      <c r="D209" s="312" t="n"/>
    </row>
    <row r="210" ht="14.25" customHeight="1" s="314">
      <c r="C210" s="210" t="n"/>
      <c r="D210" s="312" t="n"/>
    </row>
    <row r="211" ht="14.25" customHeight="1" s="314">
      <c r="C211" s="210" t="n"/>
      <c r="D211" s="312" t="n"/>
    </row>
    <row r="212" ht="14.25" customHeight="1" s="314">
      <c r="C212" s="210" t="n"/>
      <c r="D212" s="312" t="n"/>
    </row>
    <row r="213" ht="14.25" customHeight="1" s="314">
      <c r="C213" s="210" t="n"/>
      <c r="D213" s="312" t="n"/>
    </row>
    <row r="214" ht="14.25" customHeight="1" s="314">
      <c r="C214" s="210" t="n"/>
      <c r="D214" s="312" t="n"/>
    </row>
    <row r="215" ht="14.25" customHeight="1" s="314">
      <c r="C215" s="210" t="n"/>
      <c r="D215" s="312" t="n"/>
    </row>
    <row r="216" ht="14.25" customHeight="1" s="314">
      <c r="C216" s="210" t="n"/>
      <c r="D216" s="312" t="n"/>
    </row>
    <row r="217" ht="14.25" customHeight="1" s="314">
      <c r="C217" s="210" t="n"/>
      <c r="D217" s="312" t="n"/>
    </row>
    <row r="218" ht="14.25" customHeight="1" s="314">
      <c r="C218" s="210" t="n"/>
      <c r="D218" s="312" t="n"/>
    </row>
    <row r="219" ht="14.25" customHeight="1" s="314">
      <c r="C219" s="210" t="n"/>
      <c r="D219" s="312" t="n"/>
    </row>
    <row r="220" ht="14.25" customHeight="1" s="314">
      <c r="C220" s="210" t="n"/>
      <c r="D220" s="312" t="n"/>
    </row>
    <row r="221" ht="14.25" customHeight="1" s="314">
      <c r="C221" s="210" t="n"/>
      <c r="D221" s="312" t="n"/>
    </row>
    <row r="222" ht="14.25" customHeight="1" s="314">
      <c r="C222" s="210" t="n"/>
      <c r="D222" s="312" t="n"/>
    </row>
    <row r="223" ht="14.25" customHeight="1" s="314">
      <c r="C223" s="210" t="n"/>
      <c r="D223" s="312" t="n"/>
    </row>
    <row r="224" ht="14.25" customHeight="1" s="314">
      <c r="C224" s="210" t="n"/>
      <c r="D224" s="312" t="n"/>
    </row>
    <row r="225" ht="14.25" customHeight="1" s="314">
      <c r="C225" s="210" t="n"/>
      <c r="D225" s="312" t="n"/>
    </row>
    <row r="226" ht="14.25" customHeight="1" s="314">
      <c r="C226" s="210" t="n"/>
      <c r="D226" s="312" t="n"/>
    </row>
    <row r="227" ht="14.25" customHeight="1" s="314">
      <c r="C227" s="210" t="n"/>
      <c r="D227" s="312" t="n"/>
    </row>
    <row r="228" ht="14.25" customHeight="1" s="314">
      <c r="C228" s="210" t="n"/>
      <c r="D228" s="312" t="n"/>
    </row>
    <row r="229" ht="14.25" customHeight="1" s="314">
      <c r="C229" s="210" t="n"/>
      <c r="D229" s="312" t="n"/>
    </row>
    <row r="230" ht="14.25" customHeight="1" s="314">
      <c r="C230" s="210" t="n"/>
      <c r="D230" s="312" t="n"/>
    </row>
    <row r="231" ht="14.25" customHeight="1" s="314">
      <c r="C231" s="210" t="n"/>
      <c r="D231" s="312" t="n"/>
    </row>
    <row r="232" ht="14.25" customHeight="1" s="314">
      <c r="C232" s="210" t="n"/>
      <c r="D232" s="312" t="n"/>
    </row>
    <row r="233" ht="14.25" customHeight="1" s="314">
      <c r="C233" s="210" t="n"/>
      <c r="D233" s="312" t="n"/>
    </row>
    <row r="234" ht="14.25" customHeight="1" s="314">
      <c r="C234" s="210" t="n"/>
      <c r="D234" s="312" t="n"/>
    </row>
    <row r="235" ht="14.25" customHeight="1" s="314">
      <c r="C235" s="210" t="n"/>
      <c r="D235" s="312" t="n"/>
    </row>
    <row r="236" ht="14.25" customHeight="1" s="314">
      <c r="C236" s="210" t="n"/>
      <c r="D236" s="312" t="n"/>
    </row>
    <row r="237" ht="14.25" customHeight="1" s="314">
      <c r="C237" s="210" t="n"/>
      <c r="D237" s="312" t="n"/>
    </row>
    <row r="238" ht="14.25" customHeight="1" s="314">
      <c r="C238" s="210" t="n"/>
      <c r="D238" s="312" t="n"/>
    </row>
    <row r="239" ht="14.25" customHeight="1" s="314">
      <c r="C239" s="210" t="n"/>
      <c r="D239" s="312" t="n"/>
    </row>
    <row r="240" ht="14.25" customHeight="1" s="314">
      <c r="C240" s="210" t="n"/>
      <c r="D240" s="312" t="n"/>
    </row>
    <row r="241" ht="14.25" customHeight="1" s="314">
      <c r="C241" s="210" t="n"/>
      <c r="D241" s="312" t="n"/>
    </row>
    <row r="242" ht="14.25" customHeight="1" s="314">
      <c r="C242" s="210" t="n"/>
      <c r="D242" s="312" t="n"/>
    </row>
    <row r="243" ht="14.25" customHeight="1" s="314">
      <c r="C243" s="210" t="n"/>
      <c r="D243" s="312" t="n"/>
    </row>
    <row r="244" ht="14.25" customHeight="1" s="314">
      <c r="C244" s="210" t="n"/>
      <c r="D244" s="312" t="n"/>
    </row>
    <row r="245" ht="14.25" customHeight="1" s="314">
      <c r="C245" s="210" t="n"/>
      <c r="D245" s="312" t="n"/>
    </row>
    <row r="246" ht="14.25" customHeight="1" s="314">
      <c r="C246" s="210" t="n"/>
      <c r="D246" s="312" t="n"/>
    </row>
    <row r="247" ht="14.25" customHeight="1" s="314">
      <c r="C247" s="210" t="n"/>
      <c r="D247" s="312" t="n"/>
    </row>
    <row r="248" ht="14.25" customHeight="1" s="314">
      <c r="C248" s="210" t="n"/>
      <c r="D248" s="312" t="n"/>
    </row>
    <row r="249" ht="14.25" customHeight="1" s="314">
      <c r="C249" s="210" t="n"/>
      <c r="D249" s="312" t="n"/>
    </row>
    <row r="250" ht="14.25" customHeight="1" s="314">
      <c r="C250" s="210" t="n"/>
      <c r="D250" s="312" t="n"/>
    </row>
    <row r="251" ht="14.25" customHeight="1" s="314">
      <c r="C251" s="210" t="n"/>
      <c r="D251" s="312" t="n"/>
    </row>
    <row r="252" ht="14.25" customHeight="1" s="314">
      <c r="C252" s="210" t="n"/>
      <c r="D252" s="312" t="n"/>
    </row>
    <row r="253" ht="14.25" customHeight="1" s="314">
      <c r="C253" s="210" t="n"/>
      <c r="D253" s="312" t="n"/>
    </row>
    <row r="254" ht="14.25" customHeight="1" s="314">
      <c r="C254" s="210" t="n"/>
      <c r="D254" s="312" t="n"/>
    </row>
    <row r="255" ht="14.25" customHeight="1" s="314">
      <c r="C255" s="210" t="n"/>
      <c r="D255" s="312" t="n"/>
    </row>
    <row r="256" ht="14.25" customHeight="1" s="314">
      <c r="C256" s="210" t="n"/>
      <c r="D256" s="312" t="n"/>
    </row>
    <row r="257" ht="14.25" customHeight="1" s="314">
      <c r="C257" s="210" t="n"/>
      <c r="D257" s="312" t="n"/>
    </row>
    <row r="258" ht="14.25" customHeight="1" s="314">
      <c r="C258" s="210" t="n"/>
      <c r="D258" s="312" t="n"/>
    </row>
    <row r="259" ht="14.25" customHeight="1" s="314">
      <c r="C259" s="210" t="n"/>
      <c r="D259" s="312" t="n"/>
    </row>
    <row r="260" ht="14.25" customHeight="1" s="314">
      <c r="C260" s="210" t="n"/>
      <c r="D260" s="312" t="n"/>
    </row>
    <row r="261" ht="14.25" customHeight="1" s="314">
      <c r="C261" s="210" t="n"/>
      <c r="D261" s="312" t="n"/>
    </row>
    <row r="262" ht="14.25" customHeight="1" s="314">
      <c r="C262" s="210" t="n"/>
      <c r="D262" s="312" t="n"/>
    </row>
    <row r="263" ht="14.25" customHeight="1" s="314">
      <c r="C263" s="210" t="n"/>
      <c r="D263" s="312" t="n"/>
    </row>
    <row r="264" ht="14.25" customHeight="1" s="314">
      <c r="C264" s="210" t="n"/>
      <c r="D264" s="312" t="n"/>
    </row>
    <row r="265" ht="14.25" customHeight="1" s="314">
      <c r="C265" s="210" t="n"/>
      <c r="D265" s="312" t="n"/>
    </row>
    <row r="266" ht="14.25" customHeight="1" s="314">
      <c r="C266" s="210" t="n"/>
      <c r="D266" s="312" t="n"/>
    </row>
    <row r="267" ht="14.25" customHeight="1" s="314">
      <c r="C267" s="210" t="n"/>
      <c r="D267" s="312" t="n"/>
    </row>
    <row r="268" ht="14.25" customHeight="1" s="314">
      <c r="C268" s="210" t="n"/>
      <c r="D268" s="312" t="n"/>
    </row>
    <row r="269" ht="14.25" customHeight="1" s="314">
      <c r="C269" s="210" t="n"/>
      <c r="D269" s="312" t="n"/>
    </row>
    <row r="270" ht="14.25" customHeight="1" s="314">
      <c r="C270" s="210" t="n"/>
      <c r="D270" s="312" t="n"/>
    </row>
    <row r="271" ht="14.25" customHeight="1" s="314">
      <c r="C271" s="210" t="n"/>
      <c r="D271" s="312" t="n"/>
    </row>
    <row r="272" ht="14.25" customHeight="1" s="314">
      <c r="C272" s="210" t="n"/>
      <c r="D272" s="312" t="n"/>
    </row>
    <row r="273" ht="14.25" customHeight="1" s="314">
      <c r="C273" s="210" t="n"/>
      <c r="D273" s="312" t="n"/>
    </row>
    <row r="274" ht="14.25" customHeight="1" s="314">
      <c r="C274" s="210" t="n"/>
      <c r="D274" s="312" t="n"/>
    </row>
    <row r="275" ht="14.25" customHeight="1" s="314">
      <c r="C275" s="210" t="n"/>
      <c r="D275" s="312" t="n"/>
    </row>
    <row r="276" ht="14.25" customHeight="1" s="314">
      <c r="C276" s="210" t="n"/>
      <c r="D276" s="312" t="n"/>
    </row>
    <row r="277" ht="14.25" customHeight="1" s="314">
      <c r="C277" s="210" t="n"/>
      <c r="D277" s="312" t="n"/>
    </row>
    <row r="278" ht="14.25" customHeight="1" s="314">
      <c r="C278" s="210" t="n"/>
      <c r="D278" s="312" t="n"/>
    </row>
    <row r="279" ht="14.25" customHeight="1" s="314">
      <c r="C279" s="210" t="n"/>
      <c r="D279" s="312" t="n"/>
    </row>
    <row r="280" ht="14.25" customHeight="1" s="314">
      <c r="C280" s="210" t="n"/>
      <c r="D280" s="312" t="n"/>
    </row>
    <row r="281" ht="14.25" customHeight="1" s="314">
      <c r="C281" s="210" t="n"/>
      <c r="D281" s="312" t="n"/>
    </row>
    <row r="282" ht="14.25" customHeight="1" s="314">
      <c r="C282" s="210" t="n"/>
      <c r="D282" s="312" t="n"/>
    </row>
    <row r="283" ht="14.25" customHeight="1" s="314">
      <c r="C283" s="210" t="n"/>
      <c r="D283" s="312" t="n"/>
    </row>
    <row r="284" ht="14.25" customHeight="1" s="314">
      <c r="C284" s="210" t="n"/>
      <c r="D284" s="312" t="n"/>
    </row>
    <row r="285" ht="14.25" customHeight="1" s="314">
      <c r="C285" s="210" t="n"/>
      <c r="D285" s="312" t="n"/>
    </row>
    <row r="286" ht="14.25" customHeight="1" s="314">
      <c r="C286" s="210" t="n"/>
      <c r="D286" s="312" t="n"/>
    </row>
    <row r="287" ht="14.25" customHeight="1" s="314">
      <c r="C287" s="210" t="n"/>
      <c r="D287" s="312" t="n"/>
    </row>
    <row r="288" ht="14.25" customHeight="1" s="314">
      <c r="C288" s="210" t="n"/>
      <c r="D288" s="312" t="n"/>
    </row>
    <row r="289" ht="14.25" customHeight="1" s="314">
      <c r="C289" s="210" t="n"/>
      <c r="D289" s="312" t="n"/>
    </row>
    <row r="290" ht="14.25" customHeight="1" s="314">
      <c r="C290" s="210" t="n"/>
      <c r="D290" s="312" t="n"/>
    </row>
    <row r="291" ht="14.25" customHeight="1" s="314">
      <c r="C291" s="210" t="n"/>
      <c r="D291" s="312" t="n"/>
    </row>
    <row r="292" ht="14.25" customHeight="1" s="314">
      <c r="C292" s="210" t="n"/>
      <c r="D292" s="312" t="n"/>
    </row>
    <row r="293" ht="14.25" customHeight="1" s="314">
      <c r="C293" s="210" t="n"/>
      <c r="D293" s="312" t="n"/>
    </row>
    <row r="294" ht="14.25" customHeight="1" s="314">
      <c r="C294" s="210" t="n"/>
      <c r="D294" s="312" t="n"/>
    </row>
    <row r="295" ht="14.25" customHeight="1" s="314">
      <c r="C295" s="210" t="n"/>
      <c r="D295" s="312" t="n"/>
    </row>
    <row r="296" ht="14.25" customHeight="1" s="314">
      <c r="C296" s="210" t="n"/>
      <c r="D296" s="312" t="n"/>
    </row>
    <row r="297" ht="14.25" customHeight="1" s="314">
      <c r="C297" s="210" t="n"/>
      <c r="D297" s="312" t="n"/>
    </row>
    <row r="298" ht="14.25" customHeight="1" s="314">
      <c r="C298" s="210" t="n"/>
      <c r="D298" s="312" t="n"/>
    </row>
    <row r="299" ht="14.25" customHeight="1" s="314">
      <c r="C299" s="210" t="n"/>
      <c r="D299" s="312" t="n"/>
    </row>
    <row r="300" ht="14.25" customHeight="1" s="314">
      <c r="C300" s="210" t="n"/>
      <c r="D300" s="312" t="n"/>
    </row>
    <row r="301" ht="14.25" customHeight="1" s="314">
      <c r="C301" s="210" t="n"/>
      <c r="D301" s="312" t="n"/>
    </row>
    <row r="302" ht="14.25" customHeight="1" s="314">
      <c r="C302" s="210" t="n"/>
      <c r="D302" s="312" t="n"/>
    </row>
    <row r="303" ht="14.25" customHeight="1" s="314">
      <c r="C303" s="210" t="n"/>
      <c r="D303" s="312" t="n"/>
    </row>
    <row r="304" ht="14.25" customHeight="1" s="314">
      <c r="C304" s="210" t="n"/>
      <c r="D304" s="312" t="n"/>
    </row>
    <row r="305" ht="14.25" customHeight="1" s="314">
      <c r="C305" s="210" t="n"/>
      <c r="D305" s="312" t="n"/>
    </row>
    <row r="306" ht="14.25" customHeight="1" s="314">
      <c r="C306" s="210" t="n"/>
      <c r="D306" s="312" t="n"/>
    </row>
    <row r="307" ht="14.25" customHeight="1" s="314">
      <c r="C307" s="210" t="n"/>
      <c r="D307" s="312" t="n"/>
    </row>
    <row r="308" ht="14.25" customHeight="1" s="314">
      <c r="C308" s="210" t="n"/>
      <c r="D308" s="312" t="n"/>
    </row>
    <row r="309" ht="14.25" customHeight="1" s="314">
      <c r="C309" s="210" t="n"/>
      <c r="D309" s="312" t="n"/>
    </row>
    <row r="310" ht="14.25" customHeight="1" s="314">
      <c r="C310" s="210" t="n"/>
      <c r="D310" s="312" t="n"/>
    </row>
    <row r="311" ht="14.25" customHeight="1" s="314">
      <c r="C311" s="210" t="n"/>
      <c r="D311" s="312" t="n"/>
    </row>
    <row r="312" ht="14.25" customHeight="1" s="314">
      <c r="C312" s="210" t="n"/>
      <c r="D312" s="312" t="n"/>
    </row>
    <row r="313" ht="14.25" customHeight="1" s="314">
      <c r="C313" s="210" t="n"/>
      <c r="D313" s="312" t="n"/>
    </row>
    <row r="314" ht="14.25" customHeight="1" s="314">
      <c r="C314" s="210" t="n"/>
      <c r="D314" s="312" t="n"/>
    </row>
    <row r="315" ht="14.25" customHeight="1" s="314">
      <c r="C315" s="210" t="n"/>
      <c r="D315" s="312" t="n"/>
    </row>
    <row r="316" ht="14.25" customHeight="1" s="314">
      <c r="C316" s="210" t="n"/>
      <c r="D316" s="312" t="n"/>
    </row>
    <row r="317" ht="14.25" customHeight="1" s="314">
      <c r="C317" s="210" t="n"/>
      <c r="D317" s="312" t="n"/>
    </row>
    <row r="318" ht="14.25" customHeight="1" s="314">
      <c r="C318" s="210" t="n"/>
      <c r="D318" s="312" t="n"/>
    </row>
    <row r="319" ht="14.25" customHeight="1" s="314">
      <c r="C319" s="210" t="n"/>
      <c r="D319" s="312" t="n"/>
    </row>
    <row r="320" ht="14.25" customHeight="1" s="314">
      <c r="C320" s="210" t="n"/>
      <c r="D320" s="312" t="n"/>
    </row>
    <row r="321" ht="14.25" customHeight="1" s="314">
      <c r="C321" s="210" t="n"/>
      <c r="D321" s="312" t="n"/>
    </row>
    <row r="322" ht="14.25" customHeight="1" s="314">
      <c r="C322" s="210" t="n"/>
      <c r="D322" s="312" t="n"/>
    </row>
    <row r="323" ht="14.25" customHeight="1" s="314">
      <c r="C323" s="210" t="n"/>
      <c r="D323" s="312" t="n"/>
    </row>
    <row r="324" ht="14.25" customHeight="1" s="314">
      <c r="C324" s="210" t="n"/>
      <c r="D324" s="312" t="n"/>
    </row>
    <row r="325" ht="14.25" customHeight="1" s="314">
      <c r="C325" s="210" t="n"/>
      <c r="D325" s="312" t="n"/>
    </row>
    <row r="326" ht="14.25" customHeight="1" s="314">
      <c r="C326" s="210" t="n"/>
      <c r="D326" s="312" t="n"/>
    </row>
    <row r="327" ht="14.25" customHeight="1" s="314">
      <c r="C327" s="210" t="n"/>
      <c r="D327" s="312" t="n"/>
    </row>
    <row r="328" ht="14.25" customHeight="1" s="314">
      <c r="C328" s="210" t="n"/>
      <c r="D328" s="312" t="n"/>
    </row>
    <row r="329" ht="14.25" customHeight="1" s="314">
      <c r="C329" s="210" t="n"/>
      <c r="D329" s="312" t="n"/>
    </row>
    <row r="330" ht="14.25" customHeight="1" s="314">
      <c r="C330" s="210" t="n"/>
      <c r="D330" s="312" t="n"/>
    </row>
    <row r="331" ht="14.25" customHeight="1" s="314">
      <c r="C331" s="210" t="n"/>
      <c r="D331" s="312" t="n"/>
    </row>
    <row r="332" ht="14.25" customHeight="1" s="314">
      <c r="C332" s="210" t="n"/>
      <c r="D332" s="312" t="n"/>
    </row>
    <row r="333" ht="14.25" customHeight="1" s="314">
      <c r="C333" s="210" t="n"/>
      <c r="D333" s="312" t="n"/>
    </row>
    <row r="334" ht="14.25" customHeight="1" s="314">
      <c r="C334" s="210" t="n"/>
      <c r="D334" s="312" t="n"/>
    </row>
    <row r="335" ht="14.25" customHeight="1" s="314">
      <c r="C335" s="210" t="n"/>
      <c r="D335" s="312" t="n"/>
    </row>
    <row r="336" ht="14.25" customHeight="1" s="314">
      <c r="C336" s="210" t="n"/>
      <c r="D336" s="312" t="n"/>
    </row>
    <row r="337" ht="14.25" customHeight="1" s="314">
      <c r="C337" s="210" t="n"/>
      <c r="D337" s="312" t="n"/>
    </row>
    <row r="338" ht="14.25" customHeight="1" s="314">
      <c r="C338" s="210" t="n"/>
      <c r="D338" s="312" t="n"/>
    </row>
    <row r="339" ht="14.25" customHeight="1" s="314">
      <c r="C339" s="210" t="n"/>
      <c r="D339" s="312" t="n"/>
    </row>
    <row r="340" ht="14.25" customHeight="1" s="314">
      <c r="C340" s="210" t="n"/>
      <c r="D340" s="312" t="n"/>
    </row>
    <row r="341" ht="14.25" customHeight="1" s="314">
      <c r="C341" s="210" t="n"/>
      <c r="D341" s="312" t="n"/>
    </row>
    <row r="342" ht="14.25" customHeight="1" s="314">
      <c r="C342" s="210" t="n"/>
      <c r="D342" s="312" t="n"/>
    </row>
    <row r="343" ht="14.25" customHeight="1" s="314">
      <c r="C343" s="210" t="n"/>
      <c r="D343" s="312" t="n"/>
    </row>
    <row r="344" ht="14.25" customHeight="1" s="314">
      <c r="C344" s="210" t="n"/>
      <c r="D344" s="312" t="n"/>
    </row>
    <row r="345" ht="14.25" customHeight="1" s="314">
      <c r="C345" s="210" t="n"/>
      <c r="D345" s="312" t="n"/>
    </row>
    <row r="346" ht="14.25" customHeight="1" s="314">
      <c r="C346" s="210" t="n"/>
      <c r="D346" s="312" t="n"/>
    </row>
    <row r="347" ht="14.25" customHeight="1" s="314">
      <c r="C347" s="210" t="n"/>
      <c r="D347" s="312" t="n"/>
    </row>
    <row r="348" ht="14.25" customHeight="1" s="314">
      <c r="C348" s="210" t="n"/>
      <c r="D348" s="312" t="n"/>
    </row>
    <row r="349" ht="14.25" customHeight="1" s="314">
      <c r="C349" s="210" t="n"/>
      <c r="D349" s="312" t="n"/>
    </row>
    <row r="350" ht="14.25" customHeight="1" s="314">
      <c r="C350" s="210" t="n"/>
      <c r="D350" s="312" t="n"/>
    </row>
    <row r="351" ht="14.25" customHeight="1" s="314">
      <c r="C351" s="210" t="n"/>
      <c r="D351" s="312" t="n"/>
    </row>
    <row r="352" ht="14.25" customHeight="1" s="314">
      <c r="C352" s="210" t="n"/>
      <c r="D352" s="312" t="n"/>
    </row>
    <row r="353" ht="14.25" customHeight="1" s="314">
      <c r="C353" s="210" t="n"/>
      <c r="D353" s="312" t="n"/>
    </row>
    <row r="354" ht="14.25" customHeight="1" s="314">
      <c r="C354" s="210" t="n"/>
      <c r="D354" s="312" t="n"/>
    </row>
    <row r="355" ht="14.25" customHeight="1" s="314">
      <c r="C355" s="210" t="n"/>
      <c r="D355" s="312" t="n"/>
    </row>
    <row r="356" ht="14.25" customHeight="1" s="314">
      <c r="C356" s="210" t="n"/>
      <c r="D356" s="312" t="n"/>
    </row>
    <row r="357" ht="14.25" customHeight="1" s="314">
      <c r="C357" s="210" t="n"/>
      <c r="D357" s="312" t="n"/>
    </row>
    <row r="358" ht="14.25" customHeight="1" s="314">
      <c r="C358" s="210" t="n"/>
      <c r="D358" s="312" t="n"/>
    </row>
    <row r="359" ht="14.25" customHeight="1" s="314">
      <c r="C359" s="210" t="n"/>
      <c r="D359" s="312" t="n"/>
    </row>
    <row r="360" ht="14.25" customHeight="1" s="314">
      <c r="C360" s="210" t="n"/>
      <c r="D360" s="312" t="n"/>
    </row>
    <row r="361" ht="14.25" customHeight="1" s="314">
      <c r="C361" s="210" t="n"/>
      <c r="D361" s="312" t="n"/>
    </row>
    <row r="362" ht="14.25" customHeight="1" s="314">
      <c r="C362" s="210" t="n"/>
      <c r="D362" s="312" t="n"/>
    </row>
    <row r="363" ht="14.25" customHeight="1" s="314">
      <c r="C363" s="210" t="n"/>
      <c r="D363" s="312" t="n"/>
    </row>
    <row r="364" ht="14.25" customHeight="1" s="314">
      <c r="C364" s="210" t="n"/>
      <c r="D364" s="312" t="n"/>
    </row>
    <row r="365" ht="14.25" customHeight="1" s="314">
      <c r="C365" s="210" t="n"/>
      <c r="D365" s="312" t="n"/>
    </row>
    <row r="366" ht="14.25" customHeight="1" s="314">
      <c r="C366" s="210" t="n"/>
      <c r="D366" s="312" t="n"/>
    </row>
    <row r="367" ht="14.25" customHeight="1" s="314">
      <c r="C367" s="210" t="n"/>
      <c r="D367" s="312" t="n"/>
    </row>
    <row r="368" ht="14.25" customHeight="1" s="314">
      <c r="C368" s="210" t="n"/>
      <c r="D368" s="312" t="n"/>
    </row>
    <row r="369" ht="14.25" customHeight="1" s="314">
      <c r="C369" s="210" t="n"/>
      <c r="D369" s="312" t="n"/>
    </row>
    <row r="370" ht="14.25" customHeight="1" s="314">
      <c r="C370" s="210" t="n"/>
      <c r="D370" s="312" t="n"/>
    </row>
    <row r="371" ht="14.25" customHeight="1" s="314">
      <c r="C371" s="210" t="n"/>
      <c r="D371" s="312" t="n"/>
    </row>
    <row r="372" ht="14.25" customHeight="1" s="314">
      <c r="C372" s="210" t="n"/>
      <c r="D372" s="312" t="n"/>
    </row>
    <row r="373" ht="14.25" customHeight="1" s="314">
      <c r="C373" s="210" t="n"/>
      <c r="D373" s="312" t="n"/>
    </row>
    <row r="374" ht="14.25" customHeight="1" s="314">
      <c r="C374" s="210" t="n"/>
      <c r="D374" s="312" t="n"/>
    </row>
    <row r="375" ht="14.25" customHeight="1" s="314">
      <c r="C375" s="210" t="n"/>
      <c r="D375" s="312" t="n"/>
    </row>
    <row r="376" ht="14.25" customHeight="1" s="314">
      <c r="C376" s="210" t="n"/>
      <c r="D376" s="312" t="n"/>
    </row>
    <row r="377" ht="14.25" customHeight="1" s="314">
      <c r="C377" s="210" t="n"/>
      <c r="D377" s="312" t="n"/>
    </row>
    <row r="378" ht="14.25" customHeight="1" s="314">
      <c r="C378" s="210" t="n"/>
      <c r="D378" s="312" t="n"/>
    </row>
    <row r="379" ht="14.25" customHeight="1" s="314">
      <c r="C379" s="210" t="n"/>
      <c r="D379" s="312" t="n"/>
    </row>
    <row r="380" ht="14.25" customHeight="1" s="314">
      <c r="C380" s="210" t="n"/>
      <c r="D380" s="312" t="n"/>
    </row>
    <row r="381" ht="14.25" customHeight="1" s="314">
      <c r="C381" s="210" t="n"/>
      <c r="D381" s="312" t="n"/>
    </row>
    <row r="382" ht="14.25" customHeight="1" s="314">
      <c r="C382" s="210" t="n"/>
      <c r="D382" s="312" t="n"/>
    </row>
    <row r="383" ht="14.25" customHeight="1" s="314">
      <c r="C383" s="210" t="n"/>
      <c r="D383" s="312" t="n"/>
    </row>
    <row r="384" ht="14.25" customHeight="1" s="314">
      <c r="C384" s="210" t="n"/>
      <c r="D384" s="312" t="n"/>
    </row>
    <row r="385" ht="14.25" customHeight="1" s="314">
      <c r="C385" s="210" t="n"/>
      <c r="D385" s="312" t="n"/>
    </row>
    <row r="386" ht="14.25" customHeight="1" s="314">
      <c r="C386" s="210" t="n"/>
      <c r="D386" s="312" t="n"/>
    </row>
    <row r="387" ht="14.25" customHeight="1" s="314">
      <c r="C387" s="210" t="n"/>
      <c r="D387" s="312" t="n"/>
    </row>
    <row r="388" ht="14.25" customHeight="1" s="314">
      <c r="C388" s="210" t="n"/>
      <c r="D388" s="312" t="n"/>
    </row>
    <row r="389" ht="14.25" customHeight="1" s="314">
      <c r="C389" s="210" t="n"/>
      <c r="D389" s="312" t="n"/>
    </row>
    <row r="390" ht="14.25" customHeight="1" s="314">
      <c r="C390" s="210" t="n"/>
      <c r="D390" s="312" t="n"/>
    </row>
    <row r="391" ht="14.25" customHeight="1" s="314">
      <c r="C391" s="210" t="n"/>
      <c r="D391" s="312" t="n"/>
    </row>
    <row r="392" ht="14.25" customHeight="1" s="314">
      <c r="C392" s="210" t="n"/>
      <c r="D392" s="312" t="n"/>
    </row>
    <row r="393" ht="14.25" customHeight="1" s="314">
      <c r="C393" s="210" t="n"/>
      <c r="D393" s="312" t="n"/>
    </row>
    <row r="394" ht="14.25" customHeight="1" s="314">
      <c r="C394" s="210" t="n"/>
      <c r="D394" s="312" t="n"/>
    </row>
    <row r="395" ht="14.25" customHeight="1" s="314">
      <c r="C395" s="210" t="n"/>
      <c r="D395" s="312" t="n"/>
    </row>
    <row r="396" ht="14.25" customHeight="1" s="314">
      <c r="C396" s="210" t="n"/>
      <c r="D396" s="312" t="n"/>
    </row>
    <row r="397" ht="14.25" customHeight="1" s="314">
      <c r="C397" s="210" t="n"/>
      <c r="D397" s="312" t="n"/>
    </row>
    <row r="398" ht="14.25" customHeight="1" s="314">
      <c r="C398" s="210" t="n"/>
      <c r="D398" s="312" t="n"/>
    </row>
    <row r="399" ht="14.25" customHeight="1" s="314">
      <c r="C399" s="210" t="n"/>
      <c r="D399" s="312" t="n"/>
    </row>
    <row r="400" ht="14.25" customHeight="1" s="314">
      <c r="C400" s="210" t="n"/>
      <c r="D400" s="312" t="n"/>
    </row>
    <row r="401" ht="14.25" customHeight="1" s="314">
      <c r="C401" s="210" t="n"/>
      <c r="D401" s="312" t="n"/>
    </row>
    <row r="402" ht="14.25" customHeight="1" s="314">
      <c r="C402" s="210" t="n"/>
      <c r="D402" s="312" t="n"/>
    </row>
    <row r="403" ht="14.25" customHeight="1" s="314">
      <c r="C403" s="210" t="n"/>
      <c r="D403" s="312" t="n"/>
    </row>
    <row r="404" ht="14.25" customHeight="1" s="314">
      <c r="C404" s="210" t="n"/>
      <c r="D404" s="312" t="n"/>
    </row>
    <row r="405" ht="14.25" customHeight="1" s="314">
      <c r="C405" s="210" t="n"/>
      <c r="D405" s="312" t="n"/>
    </row>
    <row r="406" ht="14.25" customHeight="1" s="314">
      <c r="C406" s="210" t="n"/>
      <c r="D406" s="312" t="n"/>
    </row>
    <row r="407" ht="14.25" customHeight="1" s="314">
      <c r="C407" s="210" t="n"/>
      <c r="D407" s="312" t="n"/>
    </row>
    <row r="408" ht="14.25" customHeight="1" s="314">
      <c r="C408" s="210" t="n"/>
      <c r="D408" s="312" t="n"/>
    </row>
    <row r="409" ht="14.25" customHeight="1" s="314">
      <c r="C409" s="210" t="n"/>
      <c r="D409" s="312" t="n"/>
    </row>
    <row r="410" ht="14.25" customHeight="1" s="314">
      <c r="C410" s="210" t="n"/>
      <c r="D410" s="312" t="n"/>
    </row>
    <row r="411" ht="14.25" customHeight="1" s="314">
      <c r="C411" s="210" t="n"/>
      <c r="D411" s="312" t="n"/>
    </row>
    <row r="412" ht="14.25" customHeight="1" s="314">
      <c r="C412" s="210" t="n"/>
      <c r="D412" s="312" t="n"/>
    </row>
    <row r="413" ht="14.25" customHeight="1" s="314">
      <c r="C413" s="210" t="n"/>
      <c r="D413" s="312" t="n"/>
    </row>
    <row r="414" ht="14.25" customHeight="1" s="314">
      <c r="C414" s="210" t="n"/>
      <c r="D414" s="312" t="n"/>
    </row>
    <row r="415" ht="14.25" customHeight="1" s="314">
      <c r="C415" s="210" t="n"/>
      <c r="D415" s="312" t="n"/>
    </row>
    <row r="416" ht="14.25" customHeight="1" s="314">
      <c r="C416" s="210" t="n"/>
      <c r="D416" s="312" t="n"/>
    </row>
    <row r="417" ht="14.25" customHeight="1" s="314">
      <c r="C417" s="210" t="n"/>
      <c r="D417" s="312" t="n"/>
    </row>
    <row r="418" ht="14.25" customHeight="1" s="314">
      <c r="C418" s="210" t="n"/>
      <c r="D418" s="312" t="n"/>
    </row>
    <row r="419" ht="14.25" customHeight="1" s="314">
      <c r="C419" s="210" t="n"/>
      <c r="D419" s="312" t="n"/>
    </row>
    <row r="420" ht="14.25" customHeight="1" s="314">
      <c r="C420" s="210" t="n"/>
      <c r="D420" s="312" t="n"/>
    </row>
    <row r="421" ht="14.25" customHeight="1" s="314">
      <c r="C421" s="210" t="n"/>
      <c r="D421" s="312" t="n"/>
    </row>
    <row r="422" ht="14.25" customHeight="1" s="314">
      <c r="C422" s="210" t="n"/>
      <c r="D422" s="312" t="n"/>
    </row>
    <row r="423" ht="14.25" customHeight="1" s="314">
      <c r="C423" s="210" t="n"/>
      <c r="D423" s="312" t="n"/>
    </row>
    <row r="424" ht="14.25" customHeight="1" s="314">
      <c r="C424" s="210" t="n"/>
      <c r="D424" s="312" t="n"/>
    </row>
    <row r="425" ht="14.25" customHeight="1" s="314">
      <c r="C425" s="210" t="n"/>
      <c r="D425" s="312" t="n"/>
    </row>
    <row r="426" ht="14.25" customHeight="1" s="314">
      <c r="C426" s="210" t="n"/>
      <c r="D426" s="312" t="n"/>
    </row>
    <row r="427" ht="14.25" customHeight="1" s="314">
      <c r="C427" s="210" t="n"/>
      <c r="D427" s="312" t="n"/>
    </row>
    <row r="428" ht="14.25" customHeight="1" s="314">
      <c r="C428" s="210" t="n"/>
      <c r="D428" s="312" t="n"/>
    </row>
    <row r="429" ht="14.25" customHeight="1" s="314">
      <c r="C429" s="210" t="n"/>
      <c r="D429" s="312" t="n"/>
    </row>
    <row r="430" ht="14.25" customHeight="1" s="314">
      <c r="C430" s="210" t="n"/>
      <c r="D430" s="312" t="n"/>
    </row>
    <row r="431" ht="14.25" customHeight="1" s="314">
      <c r="C431" s="210" t="n"/>
      <c r="D431" s="312" t="n"/>
    </row>
    <row r="432" ht="14.25" customHeight="1" s="314">
      <c r="C432" s="210" t="n"/>
      <c r="D432" s="312" t="n"/>
    </row>
    <row r="433" ht="14.25" customHeight="1" s="314">
      <c r="C433" s="210" t="n"/>
      <c r="D433" s="312" t="n"/>
    </row>
    <row r="434" ht="14.25" customHeight="1" s="314">
      <c r="C434" s="210" t="n"/>
      <c r="D434" s="312" t="n"/>
    </row>
    <row r="435" ht="14.25" customHeight="1" s="314">
      <c r="C435" s="210" t="n"/>
      <c r="D435" s="312" t="n"/>
    </row>
    <row r="436" ht="14.25" customHeight="1" s="314">
      <c r="C436" s="210" t="n"/>
      <c r="D436" s="312" t="n"/>
    </row>
    <row r="437" ht="14.25" customHeight="1" s="314">
      <c r="C437" s="210" t="n"/>
      <c r="D437" s="312" t="n"/>
    </row>
    <row r="438" ht="14.25" customHeight="1" s="314">
      <c r="C438" s="210" t="n"/>
      <c r="D438" s="312" t="n"/>
    </row>
    <row r="439" ht="14.25" customHeight="1" s="314">
      <c r="C439" s="210" t="n"/>
      <c r="D439" s="312" t="n"/>
    </row>
    <row r="440" ht="14.25" customHeight="1" s="314">
      <c r="C440" s="210" t="n"/>
      <c r="D440" s="312" t="n"/>
    </row>
    <row r="441" ht="14.25" customHeight="1" s="314">
      <c r="C441" s="210" t="n"/>
      <c r="D441" s="312" t="n"/>
    </row>
    <row r="442" ht="14.25" customHeight="1" s="314">
      <c r="C442" s="210" t="n"/>
      <c r="D442" s="312" t="n"/>
    </row>
    <row r="443" ht="14.25" customHeight="1" s="314">
      <c r="C443" s="210" t="n"/>
      <c r="D443" s="312" t="n"/>
    </row>
    <row r="444" ht="14.25" customHeight="1" s="314">
      <c r="C444" s="210" t="n"/>
      <c r="D444" s="312" t="n"/>
    </row>
    <row r="445" ht="14.25" customHeight="1" s="314">
      <c r="C445" s="210" t="n"/>
      <c r="D445" s="312" t="n"/>
    </row>
    <row r="446" ht="14.25" customHeight="1" s="314">
      <c r="C446" s="210" t="n"/>
      <c r="D446" s="312" t="n"/>
    </row>
    <row r="447" ht="14.25" customHeight="1" s="314">
      <c r="C447" s="210" t="n"/>
      <c r="D447" s="312" t="n"/>
    </row>
    <row r="448" ht="14.25" customHeight="1" s="314">
      <c r="C448" s="210" t="n"/>
      <c r="D448" s="312" t="n"/>
    </row>
    <row r="449" ht="14.25" customHeight="1" s="314">
      <c r="C449" s="210" t="n"/>
      <c r="D449" s="312" t="n"/>
    </row>
    <row r="450" ht="14.25" customHeight="1" s="314">
      <c r="C450" s="210" t="n"/>
      <c r="D450" s="312" t="n"/>
    </row>
    <row r="451" ht="14.25" customHeight="1" s="314">
      <c r="C451" s="210" t="n"/>
      <c r="D451" s="312" t="n"/>
    </row>
    <row r="452" ht="14.25" customHeight="1" s="314">
      <c r="C452" s="210" t="n"/>
      <c r="D452" s="312" t="n"/>
    </row>
    <row r="453" ht="14.25" customHeight="1" s="314">
      <c r="C453" s="210" t="n"/>
      <c r="D453" s="312" t="n"/>
    </row>
    <row r="454" ht="14.25" customHeight="1" s="314">
      <c r="C454" s="210" t="n"/>
      <c r="D454" s="312" t="n"/>
    </row>
    <row r="455" ht="14.25" customHeight="1" s="314">
      <c r="C455" s="210" t="n"/>
      <c r="D455" s="312" t="n"/>
    </row>
    <row r="456" ht="14.25" customHeight="1" s="314">
      <c r="C456" s="210" t="n"/>
      <c r="D456" s="312" t="n"/>
    </row>
    <row r="457" ht="14.25" customHeight="1" s="314">
      <c r="C457" s="210" t="n"/>
      <c r="D457" s="312" t="n"/>
    </row>
    <row r="458" ht="14.25" customHeight="1" s="314">
      <c r="C458" s="210" t="n"/>
      <c r="D458" s="312" t="n"/>
    </row>
    <row r="459" ht="14.25" customHeight="1" s="314">
      <c r="C459" s="210" t="n"/>
      <c r="D459" s="312" t="n"/>
    </row>
    <row r="460" ht="14.25" customHeight="1" s="314">
      <c r="C460" s="210" t="n"/>
      <c r="D460" s="312" t="n"/>
    </row>
    <row r="461" ht="14.25" customHeight="1" s="314">
      <c r="C461" s="210" t="n"/>
      <c r="D461" s="312" t="n"/>
    </row>
    <row r="462" ht="14.25" customHeight="1" s="314">
      <c r="C462" s="210" t="n"/>
      <c r="D462" s="312" t="n"/>
    </row>
    <row r="463" ht="14.25" customHeight="1" s="314">
      <c r="C463" s="210" t="n"/>
      <c r="D463" s="312" t="n"/>
    </row>
    <row r="464" ht="14.25" customHeight="1" s="314">
      <c r="C464" s="210" t="n"/>
      <c r="D464" s="312" t="n"/>
    </row>
    <row r="465" ht="14.25" customHeight="1" s="314">
      <c r="C465" s="210" t="n"/>
      <c r="D465" s="312" t="n"/>
    </row>
    <row r="466" ht="14.25" customHeight="1" s="314">
      <c r="C466" s="210" t="n"/>
      <c r="D466" s="312" t="n"/>
    </row>
    <row r="467" ht="14.25" customHeight="1" s="314">
      <c r="C467" s="210" t="n"/>
      <c r="D467" s="312" t="n"/>
    </row>
    <row r="468" ht="14.25" customHeight="1" s="314">
      <c r="C468" s="210" t="n"/>
      <c r="D468" s="312" t="n"/>
    </row>
    <row r="469" ht="14.25" customHeight="1" s="314">
      <c r="C469" s="210" t="n"/>
      <c r="D469" s="312" t="n"/>
    </row>
    <row r="470" ht="14.25" customHeight="1" s="314">
      <c r="C470" s="210" t="n"/>
      <c r="D470" s="312" t="n"/>
    </row>
    <row r="471" ht="14.25" customHeight="1" s="314">
      <c r="C471" s="210" t="n"/>
      <c r="D471" s="312" t="n"/>
    </row>
    <row r="472" ht="14.25" customHeight="1" s="314">
      <c r="C472" s="210" t="n"/>
      <c r="D472" s="312" t="n"/>
    </row>
    <row r="473" ht="14.25" customHeight="1" s="314">
      <c r="C473" s="210" t="n"/>
      <c r="D473" s="312" t="n"/>
    </row>
    <row r="474" ht="14.25" customHeight="1" s="314">
      <c r="C474" s="210" t="n"/>
      <c r="D474" s="312" t="n"/>
    </row>
    <row r="475" ht="14.25" customHeight="1" s="314">
      <c r="C475" s="210" t="n"/>
      <c r="D475" s="312" t="n"/>
    </row>
    <row r="476" ht="14.25" customHeight="1" s="314">
      <c r="C476" s="210" t="n"/>
      <c r="D476" s="312" t="n"/>
    </row>
    <row r="477" ht="14.25" customHeight="1" s="314">
      <c r="C477" s="210" t="n"/>
      <c r="D477" s="312" t="n"/>
    </row>
    <row r="478" ht="14.25" customHeight="1" s="314">
      <c r="C478" s="210" t="n"/>
      <c r="D478" s="312" t="n"/>
    </row>
    <row r="479" ht="14.25" customHeight="1" s="314">
      <c r="C479" s="210" t="n"/>
      <c r="D479" s="312" t="n"/>
    </row>
    <row r="480" ht="14.25" customHeight="1" s="314">
      <c r="C480" s="210" t="n"/>
      <c r="D480" s="312" t="n"/>
    </row>
    <row r="481" ht="14.25" customHeight="1" s="314">
      <c r="C481" s="210" t="n"/>
      <c r="D481" s="312" t="n"/>
    </row>
    <row r="482" ht="14.25" customHeight="1" s="314">
      <c r="C482" s="210" t="n"/>
      <c r="D482" s="312" t="n"/>
    </row>
    <row r="483" ht="14.25" customHeight="1" s="314">
      <c r="C483" s="210" t="n"/>
      <c r="D483" s="312" t="n"/>
    </row>
    <row r="484" ht="14.25" customHeight="1" s="314">
      <c r="C484" s="210" t="n"/>
      <c r="D484" s="312" t="n"/>
    </row>
    <row r="485" ht="14.25" customHeight="1" s="314">
      <c r="C485" s="210" t="n"/>
      <c r="D485" s="312" t="n"/>
    </row>
    <row r="486" ht="14.25" customHeight="1" s="314">
      <c r="C486" s="210" t="n"/>
      <c r="D486" s="312" t="n"/>
    </row>
    <row r="487" ht="14.25" customHeight="1" s="314">
      <c r="C487" s="210" t="n"/>
      <c r="D487" s="312" t="n"/>
    </row>
    <row r="488" ht="14.25" customHeight="1" s="314">
      <c r="C488" s="210" t="n"/>
      <c r="D488" s="312" t="n"/>
    </row>
    <row r="489" ht="14.25" customHeight="1" s="314">
      <c r="C489" s="210" t="n"/>
      <c r="D489" s="312" t="n"/>
    </row>
    <row r="490" ht="14.25" customHeight="1" s="314">
      <c r="C490" s="210" t="n"/>
      <c r="D490" s="312" t="n"/>
    </row>
    <row r="491" ht="14.25" customHeight="1" s="314">
      <c r="C491" s="210" t="n"/>
      <c r="D491" s="312" t="n"/>
    </row>
    <row r="492" ht="14.25" customHeight="1" s="314">
      <c r="C492" s="210" t="n"/>
      <c r="D492" s="312" t="n"/>
    </row>
    <row r="493" ht="14.25" customHeight="1" s="314">
      <c r="C493" s="210" t="n"/>
      <c r="D493" s="312" t="n"/>
    </row>
    <row r="494" ht="14.25" customHeight="1" s="314">
      <c r="C494" s="210" t="n"/>
      <c r="D494" s="312" t="n"/>
    </row>
    <row r="495" ht="14.25" customHeight="1" s="314">
      <c r="C495" s="210" t="n"/>
      <c r="D495" s="312" t="n"/>
    </row>
    <row r="496" ht="14.25" customHeight="1" s="314">
      <c r="C496" s="210" t="n"/>
      <c r="D496" s="312" t="n"/>
    </row>
    <row r="497" ht="14.25" customHeight="1" s="314">
      <c r="C497" s="210" t="n"/>
      <c r="D497" s="312" t="n"/>
    </row>
    <row r="498" ht="14.25" customHeight="1" s="314">
      <c r="C498" s="210" t="n"/>
      <c r="D498" s="312" t="n"/>
    </row>
    <row r="499" ht="14.25" customHeight="1" s="314">
      <c r="C499" s="210" t="n"/>
      <c r="D499" s="312" t="n"/>
    </row>
    <row r="500" ht="14.25" customHeight="1" s="314">
      <c r="C500" s="210" t="n"/>
      <c r="D500" s="312" t="n"/>
    </row>
    <row r="501" ht="14.25" customHeight="1" s="314">
      <c r="C501" s="210" t="n"/>
      <c r="D501" s="312" t="n"/>
    </row>
    <row r="502" ht="14.25" customHeight="1" s="314">
      <c r="C502" s="210" t="n"/>
      <c r="D502" s="312" t="n"/>
    </row>
    <row r="503" ht="14.25" customHeight="1" s="314">
      <c r="C503" s="210" t="n"/>
      <c r="D503" s="312" t="n"/>
    </row>
    <row r="504" ht="14.25" customHeight="1" s="314">
      <c r="C504" s="210" t="n"/>
      <c r="D504" s="312" t="n"/>
    </row>
    <row r="505" ht="14.25" customHeight="1" s="314">
      <c r="C505" s="210" t="n"/>
      <c r="D505" s="312" t="n"/>
    </row>
    <row r="506" ht="14.25" customHeight="1" s="314">
      <c r="C506" s="210" t="n"/>
      <c r="D506" s="312" t="n"/>
    </row>
    <row r="507" ht="14.25" customHeight="1" s="314">
      <c r="C507" s="210" t="n"/>
      <c r="D507" s="312" t="n"/>
    </row>
    <row r="508" ht="14.25" customHeight="1" s="314">
      <c r="C508" s="210" t="n"/>
      <c r="D508" s="312" t="n"/>
    </row>
    <row r="509" ht="14.25" customHeight="1" s="314">
      <c r="C509" s="210" t="n"/>
      <c r="D509" s="312" t="n"/>
    </row>
    <row r="510" ht="14.25" customHeight="1" s="314">
      <c r="C510" s="210" t="n"/>
      <c r="D510" s="312" t="n"/>
    </row>
    <row r="511" ht="14.25" customHeight="1" s="314">
      <c r="C511" s="210" t="n"/>
      <c r="D511" s="312" t="n"/>
    </row>
    <row r="512" ht="14.25" customHeight="1" s="314">
      <c r="C512" s="210" t="n"/>
      <c r="D512" s="312" t="n"/>
    </row>
    <row r="513" ht="14.25" customHeight="1" s="314">
      <c r="C513" s="210" t="n"/>
      <c r="D513" s="312" t="n"/>
    </row>
    <row r="514" ht="14.25" customHeight="1" s="314">
      <c r="C514" s="210" t="n"/>
      <c r="D514" s="312" t="n"/>
    </row>
    <row r="515" ht="14.25" customHeight="1" s="314">
      <c r="C515" s="210" t="n"/>
      <c r="D515" s="312" t="n"/>
    </row>
    <row r="516" ht="14.25" customHeight="1" s="314">
      <c r="C516" s="210" t="n"/>
      <c r="D516" s="312" t="n"/>
    </row>
    <row r="517" ht="14.25" customHeight="1" s="314">
      <c r="C517" s="210" t="n"/>
      <c r="D517" s="312" t="n"/>
    </row>
    <row r="518" ht="14.25" customHeight="1" s="314">
      <c r="C518" s="210" t="n"/>
      <c r="D518" s="312" t="n"/>
    </row>
    <row r="519" ht="14.25" customHeight="1" s="314">
      <c r="C519" s="210" t="n"/>
      <c r="D519" s="312" t="n"/>
    </row>
    <row r="520" ht="14.25" customHeight="1" s="314">
      <c r="C520" s="210" t="n"/>
      <c r="D520" s="312" t="n"/>
    </row>
    <row r="521" ht="14.25" customHeight="1" s="314">
      <c r="C521" s="210" t="n"/>
      <c r="D521" s="312" t="n"/>
    </row>
    <row r="522" ht="14.25" customHeight="1" s="314">
      <c r="C522" s="210" t="n"/>
      <c r="D522" s="312" t="n"/>
    </row>
    <row r="523" ht="14.25" customHeight="1" s="314">
      <c r="C523" s="210" t="n"/>
      <c r="D523" s="312" t="n"/>
    </row>
    <row r="524" ht="14.25" customHeight="1" s="314">
      <c r="C524" s="210" t="n"/>
      <c r="D524" s="312" t="n"/>
    </row>
    <row r="525" ht="14.25" customHeight="1" s="314">
      <c r="C525" s="210" t="n"/>
      <c r="D525" s="312" t="n"/>
    </row>
    <row r="526" ht="14.25" customHeight="1" s="314">
      <c r="C526" s="210" t="n"/>
      <c r="D526" s="312" t="n"/>
    </row>
    <row r="527" ht="14.25" customHeight="1" s="314">
      <c r="C527" s="210" t="n"/>
      <c r="D527" s="312" t="n"/>
    </row>
    <row r="528" ht="14.25" customHeight="1" s="314">
      <c r="C528" s="210" t="n"/>
      <c r="D528" s="312" t="n"/>
    </row>
    <row r="529" ht="14.25" customHeight="1" s="314">
      <c r="C529" s="210" t="n"/>
      <c r="D529" s="312" t="n"/>
    </row>
    <row r="530" ht="14.25" customHeight="1" s="314">
      <c r="C530" s="210" t="n"/>
      <c r="D530" s="312" t="n"/>
    </row>
    <row r="531" ht="14.25" customHeight="1" s="314">
      <c r="C531" s="210" t="n"/>
      <c r="D531" s="312" t="n"/>
    </row>
    <row r="532" ht="14.25" customHeight="1" s="314">
      <c r="C532" s="210" t="n"/>
      <c r="D532" s="312" t="n"/>
    </row>
    <row r="533" ht="14.25" customHeight="1" s="314">
      <c r="C533" s="210" t="n"/>
      <c r="D533" s="312" t="n"/>
    </row>
    <row r="534" ht="14.25" customHeight="1" s="314">
      <c r="C534" s="210" t="n"/>
      <c r="D534" s="312" t="n"/>
    </row>
    <row r="535" ht="14.25" customHeight="1" s="314">
      <c r="C535" s="210" t="n"/>
      <c r="D535" s="312" t="n"/>
    </row>
    <row r="536" ht="14.25" customHeight="1" s="314">
      <c r="C536" s="210" t="n"/>
      <c r="D536" s="312" t="n"/>
    </row>
    <row r="537" ht="14.25" customHeight="1" s="314">
      <c r="C537" s="210" t="n"/>
      <c r="D537" s="312" t="n"/>
    </row>
    <row r="538" ht="14.25" customHeight="1" s="314">
      <c r="C538" s="210" t="n"/>
      <c r="D538" s="312" t="n"/>
    </row>
    <row r="539" ht="14.25" customHeight="1" s="314">
      <c r="C539" s="210" t="n"/>
      <c r="D539" s="312" t="n"/>
    </row>
    <row r="540" ht="14.25" customHeight="1" s="314">
      <c r="C540" s="210" t="n"/>
      <c r="D540" s="312" t="n"/>
    </row>
    <row r="541" ht="14.25" customHeight="1" s="314">
      <c r="C541" s="210" t="n"/>
      <c r="D541" s="312" t="n"/>
    </row>
    <row r="542" ht="14.25" customHeight="1" s="314">
      <c r="C542" s="210" t="n"/>
      <c r="D542" s="312" t="n"/>
    </row>
    <row r="543" ht="14.25" customHeight="1" s="314">
      <c r="C543" s="210" t="n"/>
      <c r="D543" s="312" t="n"/>
    </row>
    <row r="544" ht="14.25" customHeight="1" s="314">
      <c r="C544" s="210" t="n"/>
      <c r="D544" s="312" t="n"/>
    </row>
    <row r="545" ht="14.25" customHeight="1" s="314">
      <c r="C545" s="210" t="n"/>
      <c r="D545" s="312" t="n"/>
    </row>
    <row r="546" ht="14.25" customHeight="1" s="314">
      <c r="C546" s="210" t="n"/>
      <c r="D546" s="312" t="n"/>
    </row>
    <row r="547" ht="14.25" customHeight="1" s="314">
      <c r="C547" s="210" t="n"/>
      <c r="D547" s="312" t="n"/>
    </row>
    <row r="548" ht="14.25" customHeight="1" s="314">
      <c r="C548" s="210" t="n"/>
      <c r="D548" s="312" t="n"/>
    </row>
    <row r="549" ht="14.25" customHeight="1" s="314">
      <c r="C549" s="210" t="n"/>
      <c r="D549" s="312" t="n"/>
    </row>
    <row r="550" ht="14.25" customHeight="1" s="314">
      <c r="C550" s="210" t="n"/>
      <c r="D550" s="312" t="n"/>
    </row>
    <row r="551" ht="14.25" customHeight="1" s="314">
      <c r="C551" s="210" t="n"/>
      <c r="D551" s="312" t="n"/>
    </row>
    <row r="552" ht="14.25" customHeight="1" s="314">
      <c r="C552" s="210" t="n"/>
      <c r="D552" s="312" t="n"/>
    </row>
    <row r="553" ht="14.25" customHeight="1" s="314">
      <c r="C553" s="210" t="n"/>
      <c r="D553" s="312" t="n"/>
    </row>
    <row r="554" ht="14.25" customHeight="1" s="314">
      <c r="C554" s="210" t="n"/>
      <c r="D554" s="312" t="n"/>
    </row>
    <row r="555" ht="14.25" customHeight="1" s="314">
      <c r="C555" s="210" t="n"/>
      <c r="D555" s="312" t="n"/>
    </row>
    <row r="556" ht="14.25" customHeight="1" s="314">
      <c r="C556" s="210" t="n"/>
      <c r="D556" s="312" t="n"/>
    </row>
    <row r="557" ht="14.25" customHeight="1" s="314">
      <c r="C557" s="210" t="n"/>
      <c r="D557" s="312" t="n"/>
    </row>
    <row r="558" ht="14.25" customHeight="1" s="314">
      <c r="C558" s="210" t="n"/>
      <c r="D558" s="312" t="n"/>
    </row>
    <row r="559" ht="14.25" customHeight="1" s="314">
      <c r="C559" s="210" t="n"/>
      <c r="D559" s="312" t="n"/>
    </row>
    <row r="560" ht="14.25" customHeight="1" s="314">
      <c r="C560" s="210" t="n"/>
      <c r="D560" s="312" t="n"/>
    </row>
    <row r="561" ht="14.25" customHeight="1" s="314">
      <c r="C561" s="210" t="n"/>
      <c r="D561" s="312" t="n"/>
    </row>
    <row r="562" ht="14.25" customHeight="1" s="314">
      <c r="C562" s="210" t="n"/>
      <c r="D562" s="312" t="n"/>
    </row>
    <row r="563" ht="14.25" customHeight="1" s="314">
      <c r="C563" s="210" t="n"/>
      <c r="D563" s="312" t="n"/>
    </row>
    <row r="564" ht="14.25" customHeight="1" s="314">
      <c r="C564" s="210" t="n"/>
      <c r="D564" s="312" t="n"/>
    </row>
    <row r="565" ht="14.25" customHeight="1" s="314">
      <c r="C565" s="210" t="n"/>
      <c r="D565" s="312" t="n"/>
    </row>
    <row r="566" ht="14.25" customHeight="1" s="314">
      <c r="C566" s="210" t="n"/>
      <c r="D566" s="312" t="n"/>
    </row>
    <row r="567" ht="14.25" customHeight="1" s="314">
      <c r="C567" s="210" t="n"/>
      <c r="D567" s="312" t="n"/>
    </row>
    <row r="568" ht="14.25" customHeight="1" s="314">
      <c r="C568" s="210" t="n"/>
      <c r="D568" s="312" t="n"/>
    </row>
    <row r="569" ht="14.25" customHeight="1" s="314">
      <c r="C569" s="210" t="n"/>
      <c r="D569" s="312" t="n"/>
    </row>
    <row r="570" ht="14.25" customHeight="1" s="314">
      <c r="C570" s="210" t="n"/>
      <c r="D570" s="312" t="n"/>
    </row>
    <row r="571" ht="14.25" customHeight="1" s="314">
      <c r="C571" s="210" t="n"/>
      <c r="D571" s="312" t="n"/>
    </row>
    <row r="572" ht="14.25" customHeight="1" s="314">
      <c r="C572" s="210" t="n"/>
      <c r="D572" s="312" t="n"/>
    </row>
    <row r="573" ht="14.25" customHeight="1" s="314">
      <c r="C573" s="210" t="n"/>
      <c r="D573" s="312" t="n"/>
    </row>
    <row r="574" ht="14.25" customHeight="1" s="314">
      <c r="C574" s="210" t="n"/>
      <c r="D574" s="312" t="n"/>
    </row>
    <row r="575" ht="14.25" customHeight="1" s="314">
      <c r="C575" s="210" t="n"/>
      <c r="D575" s="312" t="n"/>
    </row>
    <row r="576" ht="14.25" customHeight="1" s="314">
      <c r="C576" s="210" t="n"/>
      <c r="D576" s="312" t="n"/>
    </row>
    <row r="577" ht="14.25" customHeight="1" s="314">
      <c r="C577" s="210" t="n"/>
      <c r="D577" s="312" t="n"/>
    </row>
    <row r="578" ht="14.25" customHeight="1" s="314">
      <c r="C578" s="210" t="n"/>
      <c r="D578" s="312" t="n"/>
    </row>
    <row r="579" ht="14.25" customHeight="1" s="314">
      <c r="C579" s="210" t="n"/>
      <c r="D579" s="312" t="n"/>
    </row>
    <row r="580" ht="14.25" customHeight="1" s="314">
      <c r="C580" s="210" t="n"/>
      <c r="D580" s="312" t="n"/>
    </row>
    <row r="581" ht="14.25" customHeight="1" s="314">
      <c r="C581" s="210" t="n"/>
      <c r="D581" s="312" t="n"/>
    </row>
    <row r="582" ht="14.25" customHeight="1" s="314">
      <c r="C582" s="210" t="n"/>
      <c r="D582" s="312" t="n"/>
    </row>
    <row r="583" ht="14.25" customHeight="1" s="314">
      <c r="C583" s="210" t="n"/>
      <c r="D583" s="312" t="n"/>
    </row>
    <row r="584" ht="14.25" customHeight="1" s="314">
      <c r="C584" s="210" t="n"/>
      <c r="D584" s="312" t="n"/>
    </row>
    <row r="585" ht="14.25" customHeight="1" s="314">
      <c r="C585" s="210" t="n"/>
      <c r="D585" s="312" t="n"/>
    </row>
    <row r="586" ht="14.25" customHeight="1" s="314">
      <c r="C586" s="210" t="n"/>
      <c r="D586" s="312" t="n"/>
    </row>
    <row r="587" ht="14.25" customHeight="1" s="314">
      <c r="C587" s="210" t="n"/>
      <c r="D587" s="312" t="n"/>
    </row>
    <row r="588" ht="14.25" customHeight="1" s="314">
      <c r="C588" s="210" t="n"/>
      <c r="D588" s="312" t="n"/>
    </row>
    <row r="589" ht="14.25" customHeight="1" s="314">
      <c r="C589" s="210" t="n"/>
      <c r="D589" s="312" t="n"/>
    </row>
    <row r="590" ht="14.25" customHeight="1" s="314">
      <c r="C590" s="210" t="n"/>
      <c r="D590" s="312" t="n"/>
    </row>
    <row r="591" ht="14.25" customHeight="1" s="314">
      <c r="C591" s="210" t="n"/>
      <c r="D591" s="312" t="n"/>
    </row>
    <row r="592" ht="14.25" customHeight="1" s="314">
      <c r="C592" s="210" t="n"/>
      <c r="D592" s="312" t="n"/>
    </row>
    <row r="593" ht="14.25" customHeight="1" s="314">
      <c r="C593" s="210" t="n"/>
      <c r="D593" s="312" t="n"/>
    </row>
    <row r="594" ht="14.25" customHeight="1" s="314">
      <c r="C594" s="210" t="n"/>
      <c r="D594" s="312" t="n"/>
    </row>
    <row r="595" ht="14.25" customHeight="1" s="314">
      <c r="C595" s="210" t="n"/>
      <c r="D595" s="312" t="n"/>
    </row>
    <row r="596" ht="14.25" customHeight="1" s="314">
      <c r="C596" s="210" t="n"/>
      <c r="D596" s="312" t="n"/>
    </row>
    <row r="597" ht="14.25" customHeight="1" s="314">
      <c r="C597" s="210" t="n"/>
      <c r="D597" s="312" t="n"/>
    </row>
    <row r="598" ht="14.25" customHeight="1" s="314">
      <c r="C598" s="210" t="n"/>
      <c r="D598" s="312" t="n"/>
    </row>
    <row r="599" ht="14.25" customHeight="1" s="314">
      <c r="C599" s="210" t="n"/>
      <c r="D599" s="312" t="n"/>
    </row>
    <row r="600" ht="14.25" customHeight="1" s="314">
      <c r="C600" s="210" t="n"/>
      <c r="D600" s="312" t="n"/>
    </row>
    <row r="601" ht="14.25" customHeight="1" s="314">
      <c r="C601" s="210" t="n"/>
      <c r="D601" s="312" t="n"/>
    </row>
    <row r="602" ht="14.25" customHeight="1" s="314">
      <c r="C602" s="210" t="n"/>
      <c r="D602" s="312" t="n"/>
    </row>
    <row r="603" ht="14.25" customHeight="1" s="314">
      <c r="C603" s="210" t="n"/>
      <c r="D603" s="312" t="n"/>
    </row>
    <row r="604" ht="14.25" customHeight="1" s="314">
      <c r="C604" s="210" t="n"/>
      <c r="D604" s="312" t="n"/>
    </row>
    <row r="605" ht="14.25" customHeight="1" s="314">
      <c r="C605" s="210" t="n"/>
      <c r="D605" s="312" t="n"/>
    </row>
    <row r="606" ht="14.25" customHeight="1" s="314">
      <c r="C606" s="210" t="n"/>
      <c r="D606" s="312" t="n"/>
    </row>
    <row r="607" ht="14.25" customHeight="1" s="314">
      <c r="C607" s="210" t="n"/>
      <c r="D607" s="312" t="n"/>
    </row>
    <row r="608" ht="14.25" customHeight="1" s="314">
      <c r="C608" s="210" t="n"/>
      <c r="D608" s="312" t="n"/>
    </row>
    <row r="609" ht="14.25" customHeight="1" s="314">
      <c r="C609" s="210" t="n"/>
      <c r="D609" s="312" t="n"/>
    </row>
    <row r="610" ht="14.25" customHeight="1" s="314">
      <c r="C610" s="210" t="n"/>
      <c r="D610" s="312" t="n"/>
    </row>
    <row r="611" ht="14.25" customHeight="1" s="314">
      <c r="C611" s="210" t="n"/>
      <c r="D611" s="312" t="n"/>
    </row>
    <row r="612" ht="14.25" customHeight="1" s="314">
      <c r="C612" s="210" t="n"/>
      <c r="D612" s="312" t="n"/>
    </row>
    <row r="613" ht="14.25" customHeight="1" s="314">
      <c r="C613" s="210" t="n"/>
      <c r="D613" s="312" t="n"/>
    </row>
    <row r="614" ht="14.25" customHeight="1" s="314">
      <c r="C614" s="210" t="n"/>
      <c r="D614" s="312" t="n"/>
    </row>
    <row r="615" ht="14.25" customHeight="1" s="314">
      <c r="C615" s="210" t="n"/>
      <c r="D615" s="312" t="n"/>
    </row>
    <row r="616" ht="14.25" customHeight="1" s="314">
      <c r="C616" s="210" t="n"/>
      <c r="D616" s="312" t="n"/>
    </row>
    <row r="617" ht="14.25" customHeight="1" s="314">
      <c r="C617" s="210" t="n"/>
      <c r="D617" s="312" t="n"/>
    </row>
    <row r="618" ht="14.25" customHeight="1" s="314">
      <c r="C618" s="210" t="n"/>
      <c r="D618" s="312" t="n"/>
    </row>
    <row r="619" ht="14.25" customHeight="1" s="314">
      <c r="C619" s="210" t="n"/>
      <c r="D619" s="312" t="n"/>
    </row>
    <row r="620" ht="14.25" customHeight="1" s="314">
      <c r="C620" s="210" t="n"/>
      <c r="D620" s="312" t="n"/>
    </row>
    <row r="621" ht="14.25" customHeight="1" s="314">
      <c r="C621" s="210" t="n"/>
      <c r="D621" s="312" t="n"/>
    </row>
    <row r="622" ht="14.25" customHeight="1" s="314">
      <c r="C622" s="210" t="n"/>
      <c r="D622" s="312" t="n"/>
    </row>
    <row r="623" ht="14.25" customHeight="1" s="314">
      <c r="C623" s="210" t="n"/>
      <c r="D623" s="312" t="n"/>
    </row>
    <row r="624" ht="14.25" customHeight="1" s="314">
      <c r="C624" s="210" t="n"/>
      <c r="D624" s="312" t="n"/>
    </row>
    <row r="625" ht="14.25" customHeight="1" s="314">
      <c r="C625" s="210" t="n"/>
      <c r="D625" s="312" t="n"/>
    </row>
    <row r="626" ht="14.25" customHeight="1" s="314">
      <c r="C626" s="210" t="n"/>
      <c r="D626" s="312" t="n"/>
    </row>
    <row r="627" ht="14.25" customHeight="1" s="314">
      <c r="C627" s="210" t="n"/>
      <c r="D627" s="312" t="n"/>
    </row>
    <row r="628" ht="14.25" customHeight="1" s="314">
      <c r="C628" s="210" t="n"/>
      <c r="D628" s="312" t="n"/>
    </row>
    <row r="629" ht="14.25" customHeight="1" s="314">
      <c r="C629" s="210" t="n"/>
      <c r="D629" s="312" t="n"/>
    </row>
    <row r="630" ht="14.25" customHeight="1" s="314">
      <c r="C630" s="210" t="n"/>
      <c r="D630" s="312" t="n"/>
    </row>
    <row r="631" ht="14.25" customHeight="1" s="314">
      <c r="C631" s="210" t="n"/>
      <c r="D631" s="312" t="n"/>
    </row>
    <row r="632" ht="14.25" customHeight="1" s="314">
      <c r="C632" s="210" t="n"/>
      <c r="D632" s="312" t="n"/>
    </row>
    <row r="633" ht="14.25" customHeight="1" s="314">
      <c r="C633" s="210" t="n"/>
      <c r="D633" s="312" t="n"/>
    </row>
    <row r="634" ht="14.25" customHeight="1" s="314">
      <c r="C634" s="210" t="n"/>
      <c r="D634" s="312" t="n"/>
    </row>
    <row r="635" ht="14.25" customHeight="1" s="314">
      <c r="C635" s="210" t="n"/>
      <c r="D635" s="312" t="n"/>
    </row>
    <row r="636" ht="14.25" customHeight="1" s="314">
      <c r="C636" s="210" t="n"/>
      <c r="D636" s="312" t="n"/>
    </row>
    <row r="637" ht="14.25" customHeight="1" s="314">
      <c r="C637" s="210" t="n"/>
      <c r="D637" s="312" t="n"/>
    </row>
    <row r="638" ht="14.25" customHeight="1" s="314">
      <c r="C638" s="210" t="n"/>
      <c r="D638" s="312" t="n"/>
    </row>
    <row r="639" ht="14.25" customHeight="1" s="314">
      <c r="C639" s="210" t="n"/>
      <c r="D639" s="312" t="n"/>
    </row>
    <row r="640" ht="14.25" customHeight="1" s="314">
      <c r="C640" s="210" t="n"/>
      <c r="D640" s="312" t="n"/>
    </row>
    <row r="641" ht="14.25" customHeight="1" s="314">
      <c r="C641" s="210" t="n"/>
      <c r="D641" s="312" t="n"/>
    </row>
    <row r="642" ht="14.25" customHeight="1" s="314">
      <c r="C642" s="210" t="n"/>
      <c r="D642" s="312" t="n"/>
    </row>
    <row r="643" ht="14.25" customHeight="1" s="314">
      <c r="C643" s="210" t="n"/>
      <c r="D643" s="312" t="n"/>
    </row>
    <row r="644" ht="14.25" customHeight="1" s="314">
      <c r="C644" s="210" t="n"/>
      <c r="D644" s="312" t="n"/>
    </row>
    <row r="645" ht="14.25" customHeight="1" s="314">
      <c r="C645" s="210" t="n"/>
      <c r="D645" s="312" t="n"/>
    </row>
    <row r="646" ht="14.25" customHeight="1" s="314">
      <c r="C646" s="210" t="n"/>
      <c r="D646" s="312" t="n"/>
    </row>
    <row r="647" ht="14.25" customHeight="1" s="314">
      <c r="C647" s="210" t="n"/>
      <c r="D647" s="312" t="n"/>
    </row>
    <row r="648" ht="14.25" customHeight="1" s="314">
      <c r="C648" s="210" t="n"/>
      <c r="D648" s="312" t="n"/>
    </row>
    <row r="649" ht="14.25" customHeight="1" s="314">
      <c r="C649" s="210" t="n"/>
      <c r="D649" s="312" t="n"/>
    </row>
    <row r="650" ht="14.25" customHeight="1" s="314">
      <c r="C650" s="210" t="n"/>
      <c r="D650" s="312" t="n"/>
    </row>
    <row r="651" ht="14.25" customHeight="1" s="314">
      <c r="C651" s="210" t="n"/>
      <c r="D651" s="312" t="n"/>
    </row>
    <row r="652" ht="14.25" customHeight="1" s="314">
      <c r="C652" s="210" t="n"/>
      <c r="D652" s="312" t="n"/>
    </row>
    <row r="653" ht="14.25" customHeight="1" s="314">
      <c r="C653" s="210" t="n"/>
      <c r="D653" s="312" t="n"/>
    </row>
    <row r="654" ht="14.25" customHeight="1" s="314">
      <c r="C654" s="210" t="n"/>
      <c r="D654" s="312" t="n"/>
    </row>
    <row r="655" ht="14.25" customHeight="1" s="314">
      <c r="C655" s="210" t="n"/>
      <c r="D655" s="312" t="n"/>
    </row>
    <row r="656" ht="14.25" customHeight="1" s="314">
      <c r="C656" s="210" t="n"/>
      <c r="D656" s="312" t="n"/>
    </row>
    <row r="657" ht="14.25" customHeight="1" s="314">
      <c r="C657" s="210" t="n"/>
      <c r="D657" s="312" t="n"/>
    </row>
    <row r="658" ht="14.25" customHeight="1" s="314">
      <c r="C658" s="210" t="n"/>
      <c r="D658" s="312" t="n"/>
    </row>
    <row r="659" ht="14.25" customHeight="1" s="314">
      <c r="C659" s="210" t="n"/>
      <c r="D659" s="312" t="n"/>
    </row>
    <row r="660" ht="14.25" customHeight="1" s="314">
      <c r="C660" s="210" t="n"/>
      <c r="D660" s="312" t="n"/>
    </row>
    <row r="661" ht="14.25" customHeight="1" s="314">
      <c r="C661" s="210" t="n"/>
      <c r="D661" s="312" t="n"/>
    </row>
    <row r="662" ht="14.25" customHeight="1" s="314">
      <c r="C662" s="210" t="n"/>
      <c r="D662" s="312" t="n"/>
    </row>
    <row r="663" ht="14.25" customHeight="1" s="314">
      <c r="C663" s="210" t="n"/>
      <c r="D663" s="312" t="n"/>
    </row>
    <row r="664" ht="14.25" customHeight="1" s="314">
      <c r="C664" s="210" t="n"/>
      <c r="D664" s="312" t="n"/>
    </row>
    <row r="665" ht="14.25" customHeight="1" s="314">
      <c r="C665" s="210" t="n"/>
      <c r="D665" s="312" t="n"/>
    </row>
    <row r="666" ht="14.25" customHeight="1" s="314">
      <c r="C666" s="210" t="n"/>
      <c r="D666" s="312" t="n"/>
    </row>
    <row r="667" ht="14.25" customHeight="1" s="314">
      <c r="C667" s="210" t="n"/>
      <c r="D667" s="312" t="n"/>
    </row>
    <row r="668" ht="14.25" customHeight="1" s="314">
      <c r="C668" s="210" t="n"/>
      <c r="D668" s="312" t="n"/>
    </row>
    <row r="669" ht="14.25" customHeight="1" s="314">
      <c r="C669" s="210" t="n"/>
      <c r="D669" s="312" t="n"/>
    </row>
    <row r="670" ht="14.25" customHeight="1" s="314">
      <c r="C670" s="210" t="n"/>
      <c r="D670" s="312" t="n"/>
    </row>
    <row r="671" ht="14.25" customHeight="1" s="314">
      <c r="C671" s="210" t="n"/>
      <c r="D671" s="312" t="n"/>
    </row>
    <row r="672" ht="14.25" customHeight="1" s="314">
      <c r="C672" s="210" t="n"/>
      <c r="D672" s="312" t="n"/>
    </row>
    <row r="673" ht="14.25" customHeight="1" s="314">
      <c r="C673" s="210" t="n"/>
      <c r="D673" s="312" t="n"/>
    </row>
    <row r="674" ht="14.25" customHeight="1" s="314">
      <c r="C674" s="210" t="n"/>
      <c r="D674" s="312" t="n"/>
    </row>
    <row r="675" ht="14.25" customHeight="1" s="314">
      <c r="C675" s="210" t="n"/>
      <c r="D675" s="312" t="n"/>
    </row>
    <row r="676" ht="14.25" customHeight="1" s="314">
      <c r="C676" s="210" t="n"/>
      <c r="D676" s="312" t="n"/>
    </row>
    <row r="677" ht="14.25" customHeight="1" s="314">
      <c r="C677" s="210" t="n"/>
      <c r="D677" s="312" t="n"/>
    </row>
    <row r="678" ht="14.25" customHeight="1" s="314">
      <c r="C678" s="210" t="n"/>
      <c r="D678" s="312" t="n"/>
    </row>
    <row r="679" ht="14.25" customHeight="1" s="314">
      <c r="C679" s="210" t="n"/>
      <c r="D679" s="312" t="n"/>
    </row>
    <row r="680" ht="14.25" customHeight="1" s="314">
      <c r="C680" s="210" t="n"/>
      <c r="D680" s="312" t="n"/>
    </row>
    <row r="681" ht="14.25" customHeight="1" s="314">
      <c r="C681" s="210" t="n"/>
      <c r="D681" s="312" t="n"/>
    </row>
    <row r="682" ht="14.25" customHeight="1" s="314">
      <c r="C682" s="210" t="n"/>
      <c r="D682" s="312" t="n"/>
    </row>
    <row r="683" ht="14.25" customHeight="1" s="314">
      <c r="C683" s="210" t="n"/>
      <c r="D683" s="312" t="n"/>
    </row>
    <row r="684" ht="14.25" customHeight="1" s="314">
      <c r="C684" s="210" t="n"/>
      <c r="D684" s="312" t="n"/>
    </row>
    <row r="685" ht="14.25" customHeight="1" s="314">
      <c r="C685" s="210" t="n"/>
      <c r="D685" s="312" t="n"/>
    </row>
    <row r="686" ht="14.25" customHeight="1" s="314">
      <c r="C686" s="210" t="n"/>
      <c r="D686" s="312" t="n"/>
    </row>
    <row r="687" ht="14.25" customHeight="1" s="314">
      <c r="C687" s="210" t="n"/>
      <c r="D687" s="312" t="n"/>
    </row>
    <row r="688" ht="14.25" customHeight="1" s="314">
      <c r="C688" s="210" t="n"/>
      <c r="D688" s="312" t="n"/>
    </row>
    <row r="689" ht="14.25" customHeight="1" s="314">
      <c r="C689" s="210" t="n"/>
      <c r="D689" s="312" t="n"/>
    </row>
    <row r="690" ht="14.25" customHeight="1" s="314">
      <c r="C690" s="210" t="n"/>
      <c r="D690" s="312" t="n"/>
    </row>
    <row r="691" ht="14.25" customHeight="1" s="314">
      <c r="C691" s="210" t="n"/>
      <c r="D691" s="312" t="n"/>
    </row>
    <row r="692" ht="14.25" customHeight="1" s="314">
      <c r="C692" s="210" t="n"/>
      <c r="D692" s="312" t="n"/>
    </row>
    <row r="693" ht="14.25" customHeight="1" s="314">
      <c r="C693" s="210" t="n"/>
      <c r="D693" s="312" t="n"/>
    </row>
    <row r="694" ht="14.25" customHeight="1" s="314">
      <c r="C694" s="210" t="n"/>
      <c r="D694" s="312" t="n"/>
    </row>
    <row r="695" ht="14.25" customHeight="1" s="314">
      <c r="C695" s="210" t="n"/>
      <c r="D695" s="312" t="n"/>
    </row>
    <row r="696" ht="14.25" customHeight="1" s="314">
      <c r="C696" s="210" t="n"/>
      <c r="D696" s="312" t="n"/>
    </row>
    <row r="697" ht="14.25" customHeight="1" s="314">
      <c r="C697" s="210" t="n"/>
      <c r="D697" s="312" t="n"/>
    </row>
    <row r="698" ht="14.25" customHeight="1" s="314">
      <c r="C698" s="210" t="n"/>
      <c r="D698" s="312" t="n"/>
    </row>
    <row r="699" ht="14.25" customHeight="1" s="314">
      <c r="C699" s="210" t="n"/>
      <c r="D699" s="312" t="n"/>
    </row>
    <row r="700" ht="14.25" customHeight="1" s="314">
      <c r="C700" s="210" t="n"/>
      <c r="D700" s="312" t="n"/>
    </row>
    <row r="701" ht="14.25" customHeight="1" s="314">
      <c r="C701" s="210" t="n"/>
      <c r="D701" s="312" t="n"/>
    </row>
    <row r="702" ht="14.25" customHeight="1" s="314">
      <c r="C702" s="210" t="n"/>
      <c r="D702" s="312" t="n"/>
    </row>
    <row r="703" ht="14.25" customHeight="1" s="314">
      <c r="C703" s="210" t="n"/>
      <c r="D703" s="312" t="n"/>
    </row>
    <row r="704" ht="14.25" customHeight="1" s="314">
      <c r="C704" s="210" t="n"/>
      <c r="D704" s="312" t="n"/>
    </row>
    <row r="705" ht="14.25" customHeight="1" s="314">
      <c r="C705" s="210" t="n"/>
      <c r="D705" s="312" t="n"/>
    </row>
    <row r="706" ht="14.25" customHeight="1" s="314">
      <c r="C706" s="210" t="n"/>
      <c r="D706" s="312" t="n"/>
    </row>
    <row r="707" ht="14.25" customHeight="1" s="314">
      <c r="C707" s="210" t="n"/>
      <c r="D707" s="312" t="n"/>
    </row>
    <row r="708" ht="14.25" customHeight="1" s="314">
      <c r="C708" s="210" t="n"/>
      <c r="D708" s="312" t="n"/>
    </row>
    <row r="709" ht="14.25" customHeight="1" s="314">
      <c r="C709" s="210" t="n"/>
      <c r="D709" s="312" t="n"/>
    </row>
    <row r="710" ht="14.25" customHeight="1" s="314">
      <c r="C710" s="210" t="n"/>
      <c r="D710" s="312" t="n"/>
    </row>
    <row r="711" ht="14.25" customHeight="1" s="314">
      <c r="C711" s="210" t="n"/>
      <c r="D711" s="312" t="n"/>
    </row>
    <row r="712" ht="14.25" customHeight="1" s="314">
      <c r="C712" s="210" t="n"/>
      <c r="D712" s="312" t="n"/>
    </row>
    <row r="713" ht="14.25" customHeight="1" s="314">
      <c r="C713" s="210" t="n"/>
      <c r="D713" s="312" t="n"/>
    </row>
    <row r="714" ht="14.25" customHeight="1" s="314">
      <c r="C714" s="210" t="n"/>
      <c r="D714" s="312" t="n"/>
    </row>
    <row r="715" ht="14.25" customHeight="1" s="314">
      <c r="C715" s="210" t="n"/>
      <c r="D715" s="312" t="n"/>
    </row>
    <row r="716" ht="14.25" customHeight="1" s="314">
      <c r="C716" s="210" t="n"/>
      <c r="D716" s="312" t="n"/>
    </row>
    <row r="717" ht="14.25" customHeight="1" s="314">
      <c r="C717" s="210" t="n"/>
      <c r="D717" s="312" t="n"/>
    </row>
    <row r="718" ht="14.25" customHeight="1" s="314">
      <c r="C718" s="210" t="n"/>
      <c r="D718" s="312" t="n"/>
    </row>
    <row r="719" ht="14.25" customHeight="1" s="314">
      <c r="C719" s="210" t="n"/>
      <c r="D719" s="312" t="n"/>
    </row>
    <row r="720" ht="14.25" customHeight="1" s="314">
      <c r="C720" s="210" t="n"/>
      <c r="D720" s="312" t="n"/>
    </row>
    <row r="721" ht="14.25" customHeight="1" s="314">
      <c r="C721" s="210" t="n"/>
      <c r="D721" s="312" t="n"/>
    </row>
    <row r="722" ht="14.25" customHeight="1" s="314">
      <c r="C722" s="210" t="n"/>
      <c r="D722" s="312" t="n"/>
    </row>
    <row r="723" ht="14.25" customHeight="1" s="314">
      <c r="C723" s="210" t="n"/>
      <c r="D723" s="312" t="n"/>
    </row>
    <row r="724" ht="14.25" customHeight="1" s="314">
      <c r="C724" s="210" t="n"/>
      <c r="D724" s="312" t="n"/>
    </row>
    <row r="725" ht="14.25" customHeight="1" s="314">
      <c r="C725" s="210" t="n"/>
      <c r="D725" s="312" t="n"/>
    </row>
    <row r="726" ht="14.25" customHeight="1" s="314">
      <c r="C726" s="210" t="n"/>
      <c r="D726" s="312" t="n"/>
    </row>
    <row r="727" ht="14.25" customHeight="1" s="314">
      <c r="C727" s="210" t="n"/>
      <c r="D727" s="312" t="n"/>
    </row>
    <row r="728" ht="14.25" customHeight="1" s="314">
      <c r="C728" s="210" t="n"/>
      <c r="D728" s="312" t="n"/>
    </row>
    <row r="729" ht="14.25" customHeight="1" s="314">
      <c r="C729" s="210" t="n"/>
      <c r="D729" s="312" t="n"/>
    </row>
    <row r="730" ht="14.25" customHeight="1" s="314">
      <c r="C730" s="210" t="n"/>
      <c r="D730" s="312" t="n"/>
    </row>
    <row r="731" ht="14.25" customHeight="1" s="314">
      <c r="C731" s="210" t="n"/>
      <c r="D731" s="312" t="n"/>
    </row>
    <row r="732" ht="14.25" customHeight="1" s="314">
      <c r="C732" s="210" t="n"/>
      <c r="D732" s="312" t="n"/>
    </row>
    <row r="733" ht="14.25" customHeight="1" s="314">
      <c r="C733" s="210" t="n"/>
      <c r="D733" s="312" t="n"/>
    </row>
    <row r="734" ht="14.25" customHeight="1" s="314">
      <c r="C734" s="210" t="n"/>
      <c r="D734" s="312" t="n"/>
    </row>
    <row r="735" ht="14.25" customHeight="1" s="314">
      <c r="C735" s="210" t="n"/>
      <c r="D735" s="312" t="n"/>
    </row>
    <row r="736" ht="14.25" customHeight="1" s="314">
      <c r="C736" s="210" t="n"/>
      <c r="D736" s="312" t="n"/>
    </row>
    <row r="737" ht="14.25" customHeight="1" s="314">
      <c r="C737" s="210" t="n"/>
      <c r="D737" s="312" t="n"/>
    </row>
    <row r="738" ht="14.25" customHeight="1" s="314">
      <c r="C738" s="210" t="n"/>
      <c r="D738" s="312" t="n"/>
    </row>
    <row r="739" ht="14.25" customHeight="1" s="314">
      <c r="C739" s="210" t="n"/>
      <c r="D739" s="312" t="n"/>
    </row>
    <row r="740" ht="14.25" customHeight="1" s="314">
      <c r="C740" s="210" t="n"/>
      <c r="D740" s="312" t="n"/>
    </row>
    <row r="741" ht="14.25" customHeight="1" s="314">
      <c r="C741" s="210" t="n"/>
      <c r="D741" s="312" t="n"/>
    </row>
    <row r="742" ht="14.25" customHeight="1" s="314">
      <c r="C742" s="210" t="n"/>
      <c r="D742" s="312" t="n"/>
    </row>
    <row r="743" ht="14.25" customHeight="1" s="314">
      <c r="C743" s="210" t="n"/>
      <c r="D743" s="312" t="n"/>
    </row>
    <row r="744" ht="14.25" customHeight="1" s="314">
      <c r="C744" s="210" t="n"/>
      <c r="D744" s="312" t="n"/>
    </row>
    <row r="745" ht="14.25" customHeight="1" s="314">
      <c r="C745" s="210" t="n"/>
      <c r="D745" s="312" t="n"/>
    </row>
    <row r="746" ht="14.25" customHeight="1" s="314">
      <c r="C746" s="210" t="n"/>
      <c r="D746" s="312" t="n"/>
    </row>
    <row r="747" ht="14.25" customHeight="1" s="314">
      <c r="C747" s="210" t="n"/>
      <c r="D747" s="312" t="n"/>
    </row>
    <row r="748" ht="14.25" customHeight="1" s="314">
      <c r="C748" s="210" t="n"/>
      <c r="D748" s="312" t="n"/>
    </row>
    <row r="749" ht="14.25" customHeight="1" s="314">
      <c r="C749" s="210" t="n"/>
      <c r="D749" s="312" t="n"/>
    </row>
    <row r="750" ht="14.25" customHeight="1" s="314">
      <c r="C750" s="210" t="n"/>
      <c r="D750" s="312" t="n"/>
    </row>
    <row r="751" ht="14.25" customHeight="1" s="314">
      <c r="C751" s="210" t="n"/>
      <c r="D751" s="312" t="n"/>
    </row>
    <row r="752" ht="14.25" customHeight="1" s="314">
      <c r="C752" s="210" t="n"/>
      <c r="D752" s="312" t="n"/>
    </row>
    <row r="753" ht="14.25" customHeight="1" s="314">
      <c r="C753" s="210" t="n"/>
      <c r="D753" s="312" t="n"/>
    </row>
    <row r="754" ht="14.25" customHeight="1" s="314">
      <c r="C754" s="210" t="n"/>
      <c r="D754" s="312" t="n"/>
    </row>
    <row r="755" ht="14.25" customHeight="1" s="314">
      <c r="C755" s="210" t="n"/>
      <c r="D755" s="312" t="n"/>
    </row>
    <row r="756" ht="14.25" customHeight="1" s="314">
      <c r="C756" s="210" t="n"/>
      <c r="D756" s="312" t="n"/>
    </row>
    <row r="757" ht="14.25" customHeight="1" s="314">
      <c r="C757" s="210" t="n"/>
      <c r="D757" s="312" t="n"/>
    </row>
    <row r="758" ht="14.25" customHeight="1" s="314">
      <c r="C758" s="210" t="n"/>
      <c r="D758" s="312" t="n"/>
    </row>
    <row r="759" ht="14.25" customHeight="1" s="314">
      <c r="C759" s="210" t="n"/>
      <c r="D759" s="312" t="n"/>
    </row>
    <row r="760" ht="14.25" customHeight="1" s="314">
      <c r="C760" s="210" t="n"/>
      <c r="D760" s="312" t="n"/>
    </row>
    <row r="761" ht="14.25" customHeight="1" s="314">
      <c r="C761" s="210" t="n"/>
      <c r="D761" s="312" t="n"/>
    </row>
    <row r="762" ht="14.25" customHeight="1" s="314">
      <c r="C762" s="210" t="n"/>
      <c r="D762" s="312" t="n"/>
    </row>
    <row r="763" ht="14.25" customHeight="1" s="314">
      <c r="C763" s="210" t="n"/>
      <c r="D763" s="312" t="n"/>
    </row>
    <row r="764" ht="14.25" customHeight="1" s="314">
      <c r="C764" s="210" t="n"/>
      <c r="D764" s="312" t="n"/>
    </row>
    <row r="765" ht="14.25" customHeight="1" s="314">
      <c r="C765" s="210" t="n"/>
      <c r="D765" s="312" t="n"/>
    </row>
    <row r="766" ht="14.25" customHeight="1" s="314">
      <c r="C766" s="210" t="n"/>
      <c r="D766" s="312" t="n"/>
    </row>
    <row r="767" ht="14.25" customHeight="1" s="314">
      <c r="C767" s="210" t="n"/>
      <c r="D767" s="312" t="n"/>
    </row>
    <row r="768" ht="14.25" customHeight="1" s="314">
      <c r="C768" s="210" t="n"/>
      <c r="D768" s="312" t="n"/>
    </row>
    <row r="769" ht="14.25" customHeight="1" s="314">
      <c r="C769" s="210" t="n"/>
      <c r="D769" s="312" t="n"/>
    </row>
    <row r="770" ht="14.25" customHeight="1" s="314">
      <c r="C770" s="210" t="n"/>
      <c r="D770" s="312" t="n"/>
    </row>
    <row r="771" ht="14.25" customHeight="1" s="314">
      <c r="C771" s="210" t="n"/>
      <c r="D771" s="312" t="n"/>
    </row>
    <row r="772" ht="14.25" customHeight="1" s="314">
      <c r="C772" s="210" t="n"/>
      <c r="D772" s="312" t="n"/>
    </row>
    <row r="773" ht="14.25" customHeight="1" s="314">
      <c r="C773" s="210" t="n"/>
      <c r="D773" s="312" t="n"/>
    </row>
    <row r="774" ht="14.25" customHeight="1" s="314">
      <c r="C774" s="210" t="n"/>
      <c r="D774" s="312" t="n"/>
    </row>
    <row r="775" ht="14.25" customHeight="1" s="314">
      <c r="C775" s="210" t="n"/>
      <c r="D775" s="312" t="n"/>
    </row>
    <row r="776" ht="14.25" customHeight="1" s="314">
      <c r="C776" s="210" t="n"/>
      <c r="D776" s="312" t="n"/>
    </row>
    <row r="777" ht="14.25" customHeight="1" s="314">
      <c r="C777" s="210" t="n"/>
      <c r="D777" s="312" t="n"/>
    </row>
    <row r="778" ht="14.25" customHeight="1" s="314">
      <c r="C778" s="210" t="n"/>
      <c r="D778" s="312" t="n"/>
    </row>
    <row r="779" ht="14.25" customHeight="1" s="314">
      <c r="C779" s="210" t="n"/>
      <c r="D779" s="312" t="n"/>
    </row>
    <row r="780" ht="14.25" customHeight="1" s="314">
      <c r="C780" s="210" t="n"/>
      <c r="D780" s="312" t="n"/>
    </row>
    <row r="781" ht="14.25" customHeight="1" s="314">
      <c r="C781" s="210" t="n"/>
      <c r="D781" s="312" t="n"/>
    </row>
    <row r="782" ht="14.25" customHeight="1" s="314">
      <c r="C782" s="210" t="n"/>
      <c r="D782" s="312" t="n"/>
    </row>
    <row r="783" ht="14.25" customHeight="1" s="314">
      <c r="C783" s="210" t="n"/>
      <c r="D783" s="312" t="n"/>
    </row>
    <row r="784" ht="14.25" customHeight="1" s="314">
      <c r="C784" s="210" t="n"/>
      <c r="D784" s="312" t="n"/>
    </row>
    <row r="785" ht="14.25" customHeight="1" s="314">
      <c r="C785" s="210" t="n"/>
      <c r="D785" s="312" t="n"/>
    </row>
    <row r="786" ht="14.25" customHeight="1" s="314">
      <c r="C786" s="210" t="n"/>
      <c r="D786" s="312" t="n"/>
    </row>
    <row r="787" ht="14.25" customHeight="1" s="314">
      <c r="C787" s="210" t="n"/>
      <c r="D787" s="312" t="n"/>
    </row>
    <row r="788" ht="14.25" customHeight="1" s="314">
      <c r="C788" s="210" t="n"/>
      <c r="D788" s="312" t="n"/>
    </row>
    <row r="789" ht="14.25" customHeight="1" s="314">
      <c r="C789" s="210" t="n"/>
      <c r="D789" s="312" t="n"/>
    </row>
    <row r="790" ht="14.25" customHeight="1" s="314">
      <c r="C790" s="210" t="n"/>
      <c r="D790" s="312" t="n"/>
    </row>
    <row r="791" ht="14.25" customHeight="1" s="314">
      <c r="C791" s="210" t="n"/>
      <c r="D791" s="312" t="n"/>
    </row>
    <row r="792" ht="14.25" customHeight="1" s="314">
      <c r="C792" s="210" t="n"/>
      <c r="D792" s="312" t="n"/>
    </row>
    <row r="793" ht="14.25" customHeight="1" s="314">
      <c r="C793" s="210" t="n"/>
      <c r="D793" s="312" t="n"/>
    </row>
    <row r="794" ht="14.25" customHeight="1" s="314">
      <c r="C794" s="210" t="n"/>
      <c r="D794" s="312" t="n"/>
    </row>
    <row r="795" ht="14.25" customHeight="1" s="314">
      <c r="C795" s="210" t="n"/>
      <c r="D795" s="312" t="n"/>
    </row>
    <row r="796" ht="14.25" customHeight="1" s="314">
      <c r="C796" s="210" t="n"/>
      <c r="D796" s="312" t="n"/>
    </row>
    <row r="797" ht="14.25" customHeight="1" s="314">
      <c r="C797" s="210" t="n"/>
      <c r="D797" s="312" t="n"/>
    </row>
    <row r="798" ht="14.25" customHeight="1" s="314">
      <c r="C798" s="210" t="n"/>
      <c r="D798" s="312" t="n"/>
    </row>
    <row r="799" ht="14.25" customHeight="1" s="314">
      <c r="C799" s="210" t="n"/>
      <c r="D799" s="312" t="n"/>
    </row>
    <row r="800" ht="14.25" customHeight="1" s="314">
      <c r="C800" s="210" t="n"/>
      <c r="D800" s="312" t="n"/>
    </row>
    <row r="801" ht="14.25" customHeight="1" s="314">
      <c r="C801" s="210" t="n"/>
      <c r="D801" s="312" t="n"/>
    </row>
    <row r="802" ht="14.25" customHeight="1" s="314">
      <c r="C802" s="210" t="n"/>
      <c r="D802" s="312" t="n"/>
    </row>
    <row r="803" ht="14.25" customHeight="1" s="314">
      <c r="C803" s="210" t="n"/>
      <c r="D803" s="312" t="n"/>
    </row>
    <row r="804" ht="14.25" customHeight="1" s="314">
      <c r="C804" s="210" t="n"/>
      <c r="D804" s="312" t="n"/>
    </row>
    <row r="805" ht="14.25" customHeight="1" s="314">
      <c r="C805" s="210" t="n"/>
      <c r="D805" s="312" t="n"/>
    </row>
    <row r="806" ht="14.25" customHeight="1" s="314">
      <c r="C806" s="210" t="n"/>
      <c r="D806" s="312" t="n"/>
    </row>
    <row r="807" ht="14.25" customHeight="1" s="314">
      <c r="C807" s="210" t="n"/>
      <c r="D807" s="312" t="n"/>
    </row>
    <row r="808" ht="14.25" customHeight="1" s="314">
      <c r="C808" s="210" t="n"/>
      <c r="D808" s="312" t="n"/>
    </row>
    <row r="809" ht="14.25" customHeight="1" s="314">
      <c r="C809" s="210" t="n"/>
      <c r="D809" s="312" t="n"/>
    </row>
    <row r="810" ht="14.25" customHeight="1" s="314">
      <c r="C810" s="210" t="n"/>
      <c r="D810" s="312" t="n"/>
    </row>
    <row r="811" ht="14.25" customHeight="1" s="314">
      <c r="C811" s="210" t="n"/>
      <c r="D811" s="312" t="n"/>
    </row>
    <row r="812" ht="14.25" customHeight="1" s="314">
      <c r="C812" s="210" t="n"/>
      <c r="D812" s="312" t="n"/>
    </row>
    <row r="813" ht="14.25" customHeight="1" s="314">
      <c r="C813" s="210" t="n"/>
      <c r="D813" s="312" t="n"/>
    </row>
    <row r="814" ht="14.25" customHeight="1" s="314">
      <c r="C814" s="210" t="n"/>
      <c r="D814" s="312" t="n"/>
    </row>
    <row r="815" ht="14.25" customHeight="1" s="314">
      <c r="C815" s="210" t="n"/>
      <c r="D815" s="312" t="n"/>
    </row>
    <row r="816" ht="14.25" customHeight="1" s="314">
      <c r="C816" s="210" t="n"/>
      <c r="D816" s="312" t="n"/>
    </row>
    <row r="817" ht="14.25" customHeight="1" s="314">
      <c r="C817" s="210" t="n"/>
      <c r="D817" s="312" t="n"/>
    </row>
    <row r="818" ht="14.25" customHeight="1" s="314">
      <c r="C818" s="210" t="n"/>
      <c r="D818" s="312" t="n"/>
    </row>
    <row r="819" ht="14.25" customHeight="1" s="314">
      <c r="C819" s="210" t="n"/>
      <c r="D819" s="312" t="n"/>
    </row>
    <row r="820" ht="14.25" customHeight="1" s="314">
      <c r="C820" s="210" t="n"/>
      <c r="D820" s="312" t="n"/>
    </row>
    <row r="821" ht="14.25" customHeight="1" s="314">
      <c r="C821" s="210" t="n"/>
      <c r="D821" s="312" t="n"/>
    </row>
    <row r="822" ht="14.25" customHeight="1" s="314">
      <c r="C822" s="210" t="n"/>
      <c r="D822" s="312" t="n"/>
    </row>
    <row r="823" ht="14.25" customHeight="1" s="314">
      <c r="C823" s="210" t="n"/>
      <c r="D823" s="312" t="n"/>
    </row>
    <row r="824" ht="14.25" customHeight="1" s="314">
      <c r="C824" s="210" t="n"/>
      <c r="D824" s="312" t="n"/>
    </row>
    <row r="825" ht="14.25" customHeight="1" s="314">
      <c r="C825" s="210" t="n"/>
      <c r="D825" s="312" t="n"/>
    </row>
    <row r="826" ht="14.25" customHeight="1" s="314">
      <c r="C826" s="210" t="n"/>
      <c r="D826" s="312" t="n"/>
    </row>
    <row r="827" ht="14.25" customHeight="1" s="314">
      <c r="C827" s="210" t="n"/>
      <c r="D827" s="312" t="n"/>
    </row>
    <row r="828" ht="14.25" customHeight="1" s="314">
      <c r="C828" s="210" t="n"/>
      <c r="D828" s="312" t="n"/>
    </row>
    <row r="829" ht="14.25" customHeight="1" s="314">
      <c r="C829" s="210" t="n"/>
      <c r="D829" s="312" t="n"/>
    </row>
    <row r="830" ht="14.25" customHeight="1" s="314">
      <c r="C830" s="210" t="n"/>
      <c r="D830" s="312" t="n"/>
    </row>
    <row r="831" ht="14.25" customHeight="1" s="314">
      <c r="C831" s="210" t="n"/>
      <c r="D831" s="312" t="n"/>
    </row>
    <row r="832" ht="14.25" customHeight="1" s="314">
      <c r="C832" s="210" t="n"/>
      <c r="D832" s="312" t="n"/>
    </row>
    <row r="833" ht="14.25" customHeight="1" s="314">
      <c r="C833" s="210" t="n"/>
      <c r="D833" s="312" t="n"/>
    </row>
    <row r="834" ht="14.25" customHeight="1" s="314">
      <c r="C834" s="210" t="n"/>
      <c r="D834" s="312" t="n"/>
    </row>
    <row r="835" ht="14.25" customHeight="1" s="314">
      <c r="C835" s="210" t="n"/>
      <c r="D835" s="312" t="n"/>
    </row>
    <row r="836" ht="14.25" customHeight="1" s="314">
      <c r="C836" s="210" t="n"/>
      <c r="D836" s="312" t="n"/>
    </row>
    <row r="837" ht="14.25" customHeight="1" s="314">
      <c r="C837" s="210" t="n"/>
      <c r="D837" s="312" t="n"/>
    </row>
    <row r="838" ht="14.25" customHeight="1" s="314">
      <c r="C838" s="210" t="n"/>
      <c r="D838" s="312" t="n"/>
    </row>
    <row r="839" ht="14.25" customHeight="1" s="314">
      <c r="C839" s="210" t="n"/>
      <c r="D839" s="312" t="n"/>
    </row>
    <row r="840" ht="14.25" customHeight="1" s="314">
      <c r="C840" s="210" t="n"/>
      <c r="D840" s="312" t="n"/>
    </row>
    <row r="841" ht="14.25" customHeight="1" s="314">
      <c r="C841" s="210" t="n"/>
      <c r="D841" s="312" t="n"/>
    </row>
    <row r="842" ht="14.25" customHeight="1" s="314">
      <c r="C842" s="210" t="n"/>
      <c r="D842" s="312" t="n"/>
    </row>
    <row r="843" ht="14.25" customHeight="1" s="314">
      <c r="C843" s="210" t="n"/>
      <c r="D843" s="312" t="n"/>
    </row>
    <row r="844" ht="14.25" customHeight="1" s="314">
      <c r="C844" s="210" t="n"/>
      <c r="D844" s="312" t="n"/>
    </row>
    <row r="845" ht="14.25" customHeight="1" s="314">
      <c r="C845" s="210" t="n"/>
      <c r="D845" s="312" t="n"/>
    </row>
    <row r="846" ht="14.25" customHeight="1" s="314">
      <c r="C846" s="210" t="n"/>
      <c r="D846" s="312" t="n"/>
    </row>
    <row r="847" ht="14.25" customHeight="1" s="314">
      <c r="C847" s="210" t="n"/>
      <c r="D847" s="312" t="n"/>
    </row>
    <row r="848" ht="14.25" customHeight="1" s="314">
      <c r="C848" s="210" t="n"/>
      <c r="D848" s="312" t="n"/>
    </row>
    <row r="849" ht="14.25" customHeight="1" s="314">
      <c r="C849" s="210" t="n"/>
      <c r="D849" s="312" t="n"/>
    </row>
    <row r="850" ht="14.25" customHeight="1" s="314">
      <c r="C850" s="210" t="n"/>
      <c r="D850" s="312" t="n"/>
    </row>
    <row r="851" ht="14.25" customHeight="1" s="314">
      <c r="C851" s="210" t="n"/>
      <c r="D851" s="312" t="n"/>
    </row>
    <row r="852" ht="14.25" customHeight="1" s="314">
      <c r="C852" s="210" t="n"/>
      <c r="D852" s="312" t="n"/>
    </row>
    <row r="853" ht="14.25" customHeight="1" s="314">
      <c r="C853" s="210" t="n"/>
      <c r="D853" s="312" t="n"/>
    </row>
    <row r="854" ht="14.25" customHeight="1" s="314">
      <c r="C854" s="210" t="n"/>
      <c r="D854" s="312" t="n"/>
    </row>
    <row r="855" ht="14.25" customHeight="1" s="314">
      <c r="C855" s="210" t="n"/>
      <c r="D855" s="312" t="n"/>
    </row>
    <row r="856" ht="14.25" customHeight="1" s="314">
      <c r="C856" s="210" t="n"/>
      <c r="D856" s="312" t="n"/>
    </row>
    <row r="857" ht="14.25" customHeight="1" s="314">
      <c r="C857" s="210" t="n"/>
      <c r="D857" s="312" t="n"/>
    </row>
    <row r="858" ht="14.25" customHeight="1" s="314">
      <c r="C858" s="210" t="n"/>
      <c r="D858" s="312" t="n"/>
    </row>
    <row r="859" ht="14.25" customHeight="1" s="314">
      <c r="C859" s="210" t="n"/>
      <c r="D859" s="312" t="n"/>
    </row>
    <row r="860" ht="14.25" customHeight="1" s="314">
      <c r="C860" s="210" t="n"/>
      <c r="D860" s="312" t="n"/>
    </row>
    <row r="861" ht="14.25" customHeight="1" s="314">
      <c r="C861" s="210" t="n"/>
      <c r="D861" s="312" t="n"/>
    </row>
    <row r="862" ht="14.25" customHeight="1" s="314">
      <c r="C862" s="210" t="n"/>
      <c r="D862" s="312" t="n"/>
    </row>
    <row r="863" ht="14.25" customHeight="1" s="314">
      <c r="C863" s="210" t="n"/>
      <c r="D863" s="312" t="n"/>
    </row>
    <row r="864" ht="14.25" customHeight="1" s="314">
      <c r="C864" s="210" t="n"/>
      <c r="D864" s="312" t="n"/>
    </row>
    <row r="865" ht="14.25" customHeight="1" s="314">
      <c r="C865" s="210" t="n"/>
      <c r="D865" s="312" t="n"/>
    </row>
    <row r="866" ht="14.25" customHeight="1" s="314">
      <c r="C866" s="210" t="n"/>
      <c r="D866" s="312" t="n"/>
    </row>
    <row r="867" ht="14.25" customHeight="1" s="314">
      <c r="C867" s="210" t="n"/>
      <c r="D867" s="312" t="n"/>
    </row>
    <row r="868" ht="14.25" customHeight="1" s="314">
      <c r="C868" s="210" t="n"/>
      <c r="D868" s="312" t="n"/>
    </row>
    <row r="869" ht="14.25" customHeight="1" s="314">
      <c r="C869" s="210" t="n"/>
      <c r="D869" s="312" t="n"/>
    </row>
    <row r="870" ht="14.25" customHeight="1" s="314">
      <c r="C870" s="210" t="n"/>
      <c r="D870" s="312" t="n"/>
    </row>
    <row r="871" ht="14.25" customHeight="1" s="314">
      <c r="C871" s="210" t="n"/>
      <c r="D871" s="312" t="n"/>
    </row>
    <row r="872" ht="14.25" customHeight="1" s="314">
      <c r="C872" s="210" t="n"/>
      <c r="D872" s="312" t="n"/>
    </row>
    <row r="873" ht="14.25" customHeight="1" s="314">
      <c r="C873" s="210" t="n"/>
      <c r="D873" s="312" t="n"/>
    </row>
    <row r="874" ht="14.25" customHeight="1" s="314">
      <c r="C874" s="210" t="n"/>
      <c r="D874" s="312" t="n"/>
    </row>
    <row r="875" ht="14.25" customHeight="1" s="314">
      <c r="C875" s="210" t="n"/>
      <c r="D875" s="312" t="n"/>
    </row>
    <row r="876" ht="14.25" customHeight="1" s="314">
      <c r="C876" s="210" t="n"/>
      <c r="D876" s="312" t="n"/>
    </row>
    <row r="877" ht="14.25" customHeight="1" s="314">
      <c r="C877" s="210" t="n"/>
      <c r="D877" s="312" t="n"/>
    </row>
    <row r="878" ht="14.25" customHeight="1" s="314">
      <c r="C878" s="210" t="n"/>
      <c r="D878" s="312" t="n"/>
    </row>
    <row r="879" ht="14.25" customHeight="1" s="314">
      <c r="C879" s="210" t="n"/>
      <c r="D879" s="312" t="n"/>
    </row>
    <row r="880" ht="14.25" customHeight="1" s="314">
      <c r="C880" s="210" t="n"/>
      <c r="D880" s="312" t="n"/>
    </row>
    <row r="881" ht="14.25" customHeight="1" s="314">
      <c r="C881" s="210" t="n"/>
      <c r="D881" s="312" t="n"/>
    </row>
    <row r="882" ht="14.25" customHeight="1" s="314">
      <c r="C882" s="210" t="n"/>
      <c r="D882" s="312" t="n"/>
    </row>
    <row r="883" ht="14.25" customHeight="1" s="314">
      <c r="C883" s="210" t="n"/>
      <c r="D883" s="312" t="n"/>
    </row>
    <row r="884" ht="14.25" customHeight="1" s="314">
      <c r="C884" s="210" t="n"/>
      <c r="D884" s="312" t="n"/>
    </row>
    <row r="885" ht="14.25" customHeight="1" s="314">
      <c r="C885" s="210" t="n"/>
      <c r="D885" s="312" t="n"/>
    </row>
    <row r="886" ht="14.25" customHeight="1" s="314">
      <c r="C886" s="210" t="n"/>
      <c r="D886" s="312" t="n"/>
    </row>
    <row r="887" ht="14.25" customHeight="1" s="314">
      <c r="C887" s="210" t="n"/>
      <c r="D887" s="312" t="n"/>
    </row>
    <row r="888" ht="14.25" customHeight="1" s="314">
      <c r="C888" s="210" t="n"/>
      <c r="D888" s="312" t="n"/>
    </row>
    <row r="889" ht="14.25" customHeight="1" s="314">
      <c r="C889" s="210" t="n"/>
      <c r="D889" s="312" t="n"/>
    </row>
    <row r="890" ht="14.25" customHeight="1" s="314">
      <c r="C890" s="210" t="n"/>
      <c r="D890" s="312" t="n"/>
    </row>
    <row r="891" ht="14.25" customHeight="1" s="314">
      <c r="C891" s="210" t="n"/>
      <c r="D891" s="312" t="n"/>
    </row>
    <row r="892" ht="14.25" customHeight="1" s="314">
      <c r="C892" s="210" t="n"/>
      <c r="D892" s="312" t="n"/>
    </row>
    <row r="893" ht="14.25" customHeight="1" s="314">
      <c r="C893" s="210" t="n"/>
      <c r="D893" s="312" t="n"/>
    </row>
    <row r="894" ht="14.25" customHeight="1" s="314">
      <c r="C894" s="210" t="n"/>
      <c r="D894" s="312" t="n"/>
    </row>
    <row r="895" ht="14.25" customHeight="1" s="314">
      <c r="C895" s="210" t="n"/>
      <c r="D895" s="312" t="n"/>
    </row>
    <row r="896" ht="14.25" customHeight="1" s="314">
      <c r="C896" s="210" t="n"/>
      <c r="D896" s="312" t="n"/>
    </row>
    <row r="897" ht="14.25" customHeight="1" s="314">
      <c r="C897" s="210" t="n"/>
      <c r="D897" s="312" t="n"/>
    </row>
    <row r="898" ht="14.25" customHeight="1" s="314">
      <c r="C898" s="210" t="n"/>
      <c r="D898" s="312" t="n"/>
    </row>
    <row r="899" ht="14.25" customHeight="1" s="314">
      <c r="C899" s="210" t="n"/>
      <c r="D899" s="312" t="n"/>
    </row>
    <row r="900" ht="14.25" customHeight="1" s="314">
      <c r="C900" s="210" t="n"/>
      <c r="D900" s="312" t="n"/>
    </row>
    <row r="901" ht="14.25" customHeight="1" s="314">
      <c r="C901" s="210" t="n"/>
      <c r="D901" s="312" t="n"/>
    </row>
    <row r="902" ht="14.25" customHeight="1" s="314">
      <c r="C902" s="210" t="n"/>
      <c r="D902" s="312" t="n"/>
    </row>
    <row r="903" ht="14.25" customHeight="1" s="314">
      <c r="C903" s="210" t="n"/>
      <c r="D903" s="312" t="n"/>
    </row>
    <row r="904" ht="14.25" customHeight="1" s="314">
      <c r="C904" s="210" t="n"/>
      <c r="D904" s="312" t="n"/>
    </row>
    <row r="905" ht="14.25" customHeight="1" s="314">
      <c r="C905" s="210" t="n"/>
      <c r="D905" s="312" t="n"/>
    </row>
    <row r="906" ht="14.25" customHeight="1" s="314">
      <c r="C906" s="210" t="n"/>
      <c r="D906" s="312" t="n"/>
    </row>
    <row r="907" ht="14.25" customHeight="1" s="314">
      <c r="C907" s="210" t="n"/>
      <c r="D907" s="312" t="n"/>
    </row>
    <row r="908" ht="14.25" customHeight="1" s="314">
      <c r="C908" s="210" t="n"/>
      <c r="D908" s="312" t="n"/>
    </row>
    <row r="909" ht="14.25" customHeight="1" s="314">
      <c r="C909" s="210" t="n"/>
      <c r="D909" s="312" t="n"/>
    </row>
    <row r="910" ht="14.25" customHeight="1" s="314">
      <c r="C910" s="210" t="n"/>
      <c r="D910" s="312" t="n"/>
    </row>
    <row r="911" ht="14.25" customHeight="1" s="314">
      <c r="C911" s="210" t="n"/>
      <c r="D911" s="312" t="n"/>
    </row>
    <row r="912" ht="14.25" customHeight="1" s="314">
      <c r="C912" s="210" t="n"/>
      <c r="D912" s="312" t="n"/>
    </row>
    <row r="913" ht="14.25" customHeight="1" s="314">
      <c r="C913" s="210" t="n"/>
      <c r="D913" s="312" t="n"/>
    </row>
    <row r="914" ht="14.25" customHeight="1" s="314">
      <c r="C914" s="210" t="n"/>
      <c r="D914" s="312" t="n"/>
    </row>
    <row r="915" ht="14.25" customHeight="1" s="314">
      <c r="C915" s="210" t="n"/>
      <c r="D915" s="312" t="n"/>
    </row>
    <row r="916" ht="14.25" customHeight="1" s="314">
      <c r="C916" s="210" t="n"/>
      <c r="D916" s="312" t="n"/>
    </row>
    <row r="917" ht="14.25" customHeight="1" s="314">
      <c r="C917" s="210" t="n"/>
      <c r="D917" s="312" t="n"/>
    </row>
    <row r="918" ht="14.25" customHeight="1" s="314">
      <c r="C918" s="210" t="n"/>
      <c r="D918" s="312" t="n"/>
    </row>
    <row r="919" ht="14.25" customHeight="1" s="314">
      <c r="C919" s="210" t="n"/>
      <c r="D919" s="312" t="n"/>
    </row>
    <row r="920" ht="14.25" customHeight="1" s="314">
      <c r="C920" s="210" t="n"/>
      <c r="D920" s="312" t="n"/>
    </row>
    <row r="921" ht="14.25" customHeight="1" s="314">
      <c r="C921" s="210" t="n"/>
      <c r="D921" s="312" t="n"/>
    </row>
    <row r="922" ht="14.25" customHeight="1" s="314">
      <c r="C922" s="210" t="n"/>
      <c r="D922" s="312" t="n"/>
    </row>
    <row r="923" ht="14.25" customHeight="1" s="314">
      <c r="C923" s="210" t="n"/>
      <c r="D923" s="312" t="n"/>
    </row>
    <row r="924" ht="14.25" customHeight="1" s="314">
      <c r="C924" s="210" t="n"/>
      <c r="D924" s="312" t="n"/>
    </row>
    <row r="925" ht="14.25" customHeight="1" s="314">
      <c r="C925" s="210" t="n"/>
      <c r="D925" s="312" t="n"/>
    </row>
    <row r="926" ht="14.25" customHeight="1" s="314">
      <c r="C926" s="210" t="n"/>
      <c r="D926" s="312" t="n"/>
    </row>
    <row r="927" ht="14.25" customHeight="1" s="314">
      <c r="C927" s="210" t="n"/>
      <c r="D927" s="312" t="n"/>
    </row>
    <row r="928" ht="14.25" customHeight="1" s="314">
      <c r="C928" s="210" t="n"/>
      <c r="D928" s="312" t="n"/>
    </row>
    <row r="929" ht="14.25" customHeight="1" s="314">
      <c r="C929" s="210" t="n"/>
      <c r="D929" s="312" t="n"/>
    </row>
    <row r="930" ht="14.25" customHeight="1" s="314">
      <c r="C930" s="210" t="n"/>
      <c r="D930" s="312" t="n"/>
    </row>
    <row r="931" ht="14.25" customHeight="1" s="314">
      <c r="C931" s="210" t="n"/>
      <c r="D931" s="312" t="n"/>
    </row>
    <row r="932" ht="14.25" customHeight="1" s="314">
      <c r="C932" s="210" t="n"/>
      <c r="D932" s="312" t="n"/>
    </row>
    <row r="933" ht="14.25" customHeight="1" s="314">
      <c r="C933" s="210" t="n"/>
      <c r="D933" s="312" t="n"/>
    </row>
    <row r="934" ht="14.25" customHeight="1" s="314">
      <c r="C934" s="210" t="n"/>
      <c r="D934" s="312" t="n"/>
    </row>
    <row r="935" ht="14.25" customHeight="1" s="314">
      <c r="C935" s="210" t="n"/>
      <c r="D935" s="312" t="n"/>
    </row>
    <row r="936" ht="14.25" customHeight="1" s="314">
      <c r="C936" s="210" t="n"/>
      <c r="D936" s="312" t="n"/>
    </row>
    <row r="937" ht="14.25" customHeight="1" s="314">
      <c r="C937" s="210" t="n"/>
      <c r="D937" s="312" t="n"/>
    </row>
    <row r="938" ht="14.25" customHeight="1" s="314">
      <c r="C938" s="210" t="n"/>
      <c r="D938" s="312" t="n"/>
    </row>
    <row r="939" ht="14.25" customHeight="1" s="314">
      <c r="C939" s="210" t="n"/>
      <c r="D939" s="312" t="n"/>
    </row>
    <row r="940" ht="14.25" customHeight="1" s="314">
      <c r="C940" s="210" t="n"/>
      <c r="D940" s="312" t="n"/>
    </row>
    <row r="941" ht="14.25" customHeight="1" s="314">
      <c r="C941" s="210" t="n"/>
      <c r="D941" s="312" t="n"/>
    </row>
    <row r="942" ht="14.25" customHeight="1" s="314">
      <c r="C942" s="210" t="n"/>
      <c r="D942" s="312" t="n"/>
    </row>
    <row r="943" ht="14.25" customHeight="1" s="314">
      <c r="C943" s="210" t="n"/>
      <c r="D943" s="312" t="n"/>
    </row>
    <row r="944" ht="14.25" customHeight="1" s="314">
      <c r="C944" s="210" t="n"/>
      <c r="D944" s="312" t="n"/>
    </row>
    <row r="945" ht="14.25" customHeight="1" s="314">
      <c r="C945" s="210" t="n"/>
      <c r="D945" s="312" t="n"/>
    </row>
    <row r="946" ht="14.25" customHeight="1" s="314">
      <c r="C946" s="210" t="n"/>
      <c r="D946" s="312" t="n"/>
    </row>
    <row r="947" ht="14.25" customHeight="1" s="314">
      <c r="C947" s="210" t="n"/>
      <c r="D947" s="312" t="n"/>
    </row>
    <row r="948" ht="14.25" customHeight="1" s="314">
      <c r="C948" s="210" t="n"/>
      <c r="D948" s="312" t="n"/>
    </row>
    <row r="949" ht="14.25" customHeight="1" s="314">
      <c r="C949" s="210" t="n"/>
      <c r="D949" s="312" t="n"/>
    </row>
    <row r="950" ht="14.25" customHeight="1" s="314">
      <c r="C950" s="210" t="n"/>
      <c r="D950" s="312" t="n"/>
    </row>
    <row r="951" ht="14.25" customHeight="1" s="314">
      <c r="C951" s="210" t="n"/>
      <c r="D951" s="312" t="n"/>
    </row>
    <row r="952" ht="14.25" customHeight="1" s="314">
      <c r="C952" s="210" t="n"/>
      <c r="D952" s="312" t="n"/>
    </row>
    <row r="953" ht="14.25" customHeight="1" s="314">
      <c r="C953" s="210" t="n"/>
      <c r="D953" s="312" t="n"/>
    </row>
    <row r="954" ht="14.25" customHeight="1" s="314">
      <c r="C954" s="210" t="n"/>
      <c r="D954" s="312" t="n"/>
    </row>
    <row r="955" ht="14.25" customHeight="1" s="314">
      <c r="C955" s="210" t="n"/>
      <c r="D955" s="312" t="n"/>
    </row>
    <row r="956" ht="14.25" customHeight="1" s="314">
      <c r="C956" s="210" t="n"/>
      <c r="D956" s="312" t="n"/>
    </row>
    <row r="957" ht="14.25" customHeight="1" s="314">
      <c r="C957" s="210" t="n"/>
      <c r="D957" s="312" t="n"/>
    </row>
    <row r="958" ht="14.25" customHeight="1" s="314">
      <c r="C958" s="210" t="n"/>
      <c r="D958" s="312" t="n"/>
    </row>
    <row r="959" ht="14.25" customHeight="1" s="314">
      <c r="C959" s="210" t="n"/>
      <c r="D959" s="312" t="n"/>
    </row>
    <row r="960" ht="14.25" customHeight="1" s="314">
      <c r="C960" s="210" t="n"/>
      <c r="D960" s="312" t="n"/>
    </row>
    <row r="961" ht="14.25" customHeight="1" s="314">
      <c r="C961" s="210" t="n"/>
      <c r="D961" s="312" t="n"/>
    </row>
    <row r="962" ht="14.25" customHeight="1" s="314">
      <c r="C962" s="210" t="n"/>
      <c r="D962" s="312" t="n"/>
    </row>
    <row r="963" ht="14.25" customHeight="1" s="314">
      <c r="C963" s="210" t="n"/>
      <c r="D963" s="312" t="n"/>
    </row>
    <row r="964" ht="14.25" customHeight="1" s="314">
      <c r="C964" s="210" t="n"/>
      <c r="D964" s="312" t="n"/>
    </row>
    <row r="965" ht="14.25" customHeight="1" s="314">
      <c r="C965" s="210" t="n"/>
      <c r="D965" s="312" t="n"/>
    </row>
    <row r="966" ht="14.25" customHeight="1" s="314">
      <c r="C966" s="210" t="n"/>
      <c r="D966" s="312" t="n"/>
    </row>
    <row r="967" ht="14.25" customHeight="1" s="314">
      <c r="C967" s="210" t="n"/>
      <c r="D967" s="312" t="n"/>
    </row>
    <row r="968" ht="14.25" customHeight="1" s="314">
      <c r="C968" s="210" t="n"/>
      <c r="D968" s="312" t="n"/>
    </row>
    <row r="969" ht="14.25" customHeight="1" s="314">
      <c r="C969" s="210" t="n"/>
      <c r="D969" s="312" t="n"/>
    </row>
    <row r="970" ht="14.25" customHeight="1" s="314">
      <c r="C970" s="210" t="n"/>
      <c r="D970" s="312" t="n"/>
    </row>
    <row r="971" ht="14.25" customHeight="1" s="314">
      <c r="C971" s="210" t="n"/>
      <c r="D971" s="312" t="n"/>
    </row>
    <row r="972" ht="14.25" customHeight="1" s="314">
      <c r="C972" s="210" t="n"/>
      <c r="D972" s="312" t="n"/>
    </row>
    <row r="973" ht="14.25" customHeight="1" s="314">
      <c r="C973" s="210" t="n"/>
      <c r="D973" s="312" t="n"/>
    </row>
    <row r="974" ht="14.25" customHeight="1" s="314">
      <c r="C974" s="210" t="n"/>
      <c r="D974" s="312" t="n"/>
    </row>
    <row r="975" ht="14.25" customHeight="1" s="314">
      <c r="C975" s="210" t="n"/>
      <c r="D975" s="312" t="n"/>
    </row>
    <row r="976" ht="14.25" customHeight="1" s="314">
      <c r="C976" s="210" t="n"/>
      <c r="D976" s="312" t="n"/>
    </row>
    <row r="977" ht="14.25" customHeight="1" s="314">
      <c r="C977" s="210" t="n"/>
      <c r="D977" s="312" t="n"/>
    </row>
    <row r="978" ht="14.25" customHeight="1" s="314">
      <c r="C978" s="210" t="n"/>
      <c r="D978" s="312" t="n"/>
    </row>
    <row r="979" ht="14.25" customHeight="1" s="314">
      <c r="C979" s="210" t="n"/>
      <c r="D979" s="312" t="n"/>
    </row>
    <row r="980" ht="14.25" customHeight="1" s="314">
      <c r="C980" s="210" t="n"/>
      <c r="D980" s="312" t="n"/>
    </row>
    <row r="981" ht="14.25" customHeight="1" s="314">
      <c r="C981" s="210" t="n"/>
      <c r="D981" s="312" t="n"/>
    </row>
    <row r="982" ht="14.25" customHeight="1" s="314">
      <c r="C982" s="210" t="n"/>
      <c r="D982" s="312" t="n"/>
    </row>
    <row r="983" ht="14.25" customHeight="1" s="314">
      <c r="C983" s="210" t="n"/>
      <c r="D983" s="312" t="n"/>
    </row>
    <row r="984" ht="14.25" customHeight="1" s="314">
      <c r="C984" s="210" t="n"/>
      <c r="D984" s="312" t="n"/>
    </row>
    <row r="985" ht="14.25" customHeight="1" s="314">
      <c r="C985" s="210" t="n"/>
      <c r="D985" s="312" t="n"/>
    </row>
    <row r="986" ht="14.25" customHeight="1" s="314">
      <c r="C986" s="210" t="n"/>
      <c r="D986" s="312" t="n"/>
    </row>
    <row r="987" ht="14.25" customHeight="1" s="314">
      <c r="C987" s="210" t="n"/>
      <c r="D987" s="312" t="n"/>
    </row>
    <row r="988" ht="14.25" customHeight="1" s="314">
      <c r="C988" s="210" t="n"/>
      <c r="D988" s="312" t="n"/>
    </row>
    <row r="989" ht="14.25" customHeight="1" s="314">
      <c r="C989" s="210" t="n"/>
      <c r="D989" s="312" t="n"/>
    </row>
    <row r="990" ht="14.25" customHeight="1" s="314">
      <c r="C990" s="210" t="n"/>
      <c r="D990" s="312" t="n"/>
    </row>
    <row r="991" ht="14.25" customHeight="1" s="314">
      <c r="C991" s="210" t="n"/>
      <c r="D991" s="312" t="n"/>
    </row>
    <row r="992" ht="14.25" customHeight="1" s="314">
      <c r="C992" s="210" t="n"/>
      <c r="D992" s="312" t="n"/>
    </row>
    <row r="993" ht="14.25" customHeight="1" s="314">
      <c r="C993" s="210" t="n"/>
      <c r="D993" s="312" t="n"/>
    </row>
    <row r="994" ht="14.25" customHeight="1" s="314">
      <c r="C994" s="210" t="n"/>
      <c r="D994" s="312" t="n"/>
    </row>
    <row r="995" ht="14.25" customHeight="1" s="314">
      <c r="C995" s="210" t="n"/>
      <c r="D995" s="312" t="n"/>
    </row>
    <row r="996" ht="14.25" customHeight="1" s="314">
      <c r="C996" s="210" t="n"/>
      <c r="D996" s="312" t="n"/>
    </row>
    <row r="997" ht="14.25" customHeight="1" s="314">
      <c r="C997" s="210" t="n"/>
      <c r="D997" s="312" t="n"/>
    </row>
    <row r="998" ht="14.25" customHeight="1" s="314">
      <c r="C998" s="210" t="n"/>
      <c r="D998" s="312" t="n"/>
    </row>
    <row r="999" ht="14.25" customHeight="1" s="314">
      <c r="C999" s="210" t="n"/>
      <c r="D999" s="312" t="n"/>
    </row>
    <row r="1000" ht="14.25" customHeight="1" s="314">
      <c r="C1000" s="210" t="n"/>
      <c r="D1000" s="312" t="n"/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2025-07-07T23:49:08Z</dcterms:created>
  <dcterms:modified xsi:type="dcterms:W3CDTF">2025-07-11T22:31:38Z</dcterms:modified>
  <cp:lastModifiedBy>Jean Paul Sierra Boom</cp:lastModifiedBy>
</cp:coreProperties>
</file>